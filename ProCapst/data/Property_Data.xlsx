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KRIPSI\EMAIL KE DOSEN\"/>
    </mc:Choice>
  </mc:AlternateContent>
  <xr:revisionPtr revIDLastSave="0" documentId="13_ncr:1_{D8229DA5-2474-468A-BF17-37E4EB04C6D3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RAW DATA" sheetId="1" r:id="rId1"/>
    <sheet name="HASIL PERHITUNG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9" i="1" l="1"/>
  <c r="O237" i="1"/>
  <c r="L201" i="2"/>
  <c r="J201" i="2"/>
  <c r="I201" i="2"/>
  <c r="H201" i="2"/>
  <c r="G201" i="2"/>
  <c r="F201" i="2"/>
  <c r="E201" i="2"/>
  <c r="D201" i="2"/>
  <c r="C201" i="2"/>
  <c r="L200" i="2"/>
  <c r="J200" i="2"/>
  <c r="I200" i="2"/>
  <c r="H200" i="2"/>
  <c r="G200" i="2"/>
  <c r="F200" i="2"/>
  <c r="E200" i="2"/>
  <c r="D200" i="2"/>
  <c r="C200" i="2"/>
  <c r="L199" i="2"/>
  <c r="J199" i="2"/>
  <c r="I199" i="2"/>
  <c r="H199" i="2"/>
  <c r="G199" i="2"/>
  <c r="F199" i="2"/>
  <c r="E199" i="2"/>
  <c r="D199" i="2"/>
  <c r="C199" i="2"/>
  <c r="L198" i="2"/>
  <c r="J198" i="2"/>
  <c r="I198" i="2"/>
  <c r="H198" i="2"/>
  <c r="G198" i="2"/>
  <c r="F198" i="2"/>
  <c r="E198" i="2"/>
  <c r="D198" i="2"/>
  <c r="C198" i="2"/>
  <c r="L197" i="2"/>
  <c r="J197" i="2"/>
  <c r="I197" i="2"/>
  <c r="H197" i="2"/>
  <c r="G197" i="2"/>
  <c r="F197" i="2"/>
  <c r="E197" i="2"/>
  <c r="D197" i="2"/>
  <c r="C197" i="2"/>
  <c r="L196" i="2"/>
  <c r="J196" i="2"/>
  <c r="I196" i="2"/>
  <c r="H196" i="2"/>
  <c r="G196" i="2"/>
  <c r="F196" i="2"/>
  <c r="E196" i="2"/>
  <c r="D196" i="2"/>
  <c r="C196" i="2"/>
  <c r="L195" i="2"/>
  <c r="J195" i="2"/>
  <c r="I195" i="2"/>
  <c r="H195" i="2"/>
  <c r="G195" i="2"/>
  <c r="F195" i="2"/>
  <c r="E195" i="2"/>
  <c r="D195" i="2"/>
  <c r="C195" i="2"/>
  <c r="L194" i="2"/>
  <c r="J194" i="2"/>
  <c r="I194" i="2"/>
  <c r="H194" i="2"/>
  <c r="G194" i="2"/>
  <c r="F194" i="2"/>
  <c r="E194" i="2"/>
  <c r="D194" i="2"/>
  <c r="C194" i="2"/>
  <c r="L193" i="2"/>
  <c r="J193" i="2"/>
  <c r="I193" i="2"/>
  <c r="H193" i="2"/>
  <c r="G193" i="2"/>
  <c r="F193" i="2"/>
  <c r="E193" i="2"/>
  <c r="D193" i="2"/>
  <c r="C193" i="2"/>
  <c r="L192" i="2"/>
  <c r="J192" i="2"/>
  <c r="I192" i="2"/>
  <c r="H192" i="2"/>
  <c r="G192" i="2"/>
  <c r="F192" i="2"/>
  <c r="E192" i="2"/>
  <c r="D192" i="2"/>
  <c r="C192" i="2"/>
  <c r="L191" i="2"/>
  <c r="J191" i="2"/>
  <c r="I191" i="2"/>
  <c r="H191" i="2"/>
  <c r="G191" i="2"/>
  <c r="F191" i="2"/>
  <c r="E191" i="2"/>
  <c r="D191" i="2"/>
  <c r="C191" i="2"/>
  <c r="L190" i="2"/>
  <c r="J190" i="2"/>
  <c r="I190" i="2"/>
  <c r="H190" i="2"/>
  <c r="G190" i="2"/>
  <c r="F190" i="2"/>
  <c r="E190" i="2"/>
  <c r="D190" i="2"/>
  <c r="C190" i="2"/>
  <c r="L189" i="2"/>
  <c r="J189" i="2"/>
  <c r="I189" i="2"/>
  <c r="H189" i="2"/>
  <c r="G189" i="2"/>
  <c r="F189" i="2"/>
  <c r="E189" i="2"/>
  <c r="D189" i="2"/>
  <c r="C189" i="2"/>
  <c r="L188" i="2"/>
  <c r="J188" i="2"/>
  <c r="I188" i="2"/>
  <c r="H188" i="2"/>
  <c r="G188" i="2"/>
  <c r="F188" i="2"/>
  <c r="E188" i="2"/>
  <c r="D188" i="2"/>
  <c r="C188" i="2"/>
  <c r="L187" i="2"/>
  <c r="J187" i="2"/>
  <c r="I187" i="2"/>
  <c r="H187" i="2"/>
  <c r="G187" i="2"/>
  <c r="F187" i="2"/>
  <c r="E187" i="2"/>
  <c r="D187" i="2"/>
  <c r="C187" i="2"/>
  <c r="L186" i="2"/>
  <c r="J186" i="2"/>
  <c r="I186" i="2"/>
  <c r="H186" i="2"/>
  <c r="G186" i="2"/>
  <c r="F186" i="2"/>
  <c r="E186" i="2"/>
  <c r="D186" i="2"/>
  <c r="C186" i="2"/>
  <c r="L185" i="2"/>
  <c r="J185" i="2"/>
  <c r="I185" i="2"/>
  <c r="H185" i="2"/>
  <c r="G185" i="2"/>
  <c r="F185" i="2"/>
  <c r="E185" i="2"/>
  <c r="D185" i="2"/>
  <c r="C185" i="2"/>
  <c r="L184" i="2"/>
  <c r="J184" i="2"/>
  <c r="I184" i="2"/>
  <c r="H184" i="2"/>
  <c r="G184" i="2"/>
  <c r="F184" i="2"/>
  <c r="E184" i="2"/>
  <c r="D184" i="2"/>
  <c r="C184" i="2"/>
  <c r="L183" i="2"/>
  <c r="J183" i="2"/>
  <c r="I183" i="2"/>
  <c r="H183" i="2"/>
  <c r="G183" i="2"/>
  <c r="F183" i="2"/>
  <c r="E183" i="2"/>
  <c r="D183" i="2"/>
  <c r="C183" i="2"/>
  <c r="L182" i="2"/>
  <c r="J182" i="2"/>
  <c r="I182" i="2"/>
  <c r="H182" i="2"/>
  <c r="G182" i="2"/>
  <c r="F182" i="2"/>
  <c r="E182" i="2"/>
  <c r="D182" i="2"/>
  <c r="C182" i="2"/>
  <c r="L181" i="2"/>
  <c r="J181" i="2"/>
  <c r="I181" i="2"/>
  <c r="H181" i="2"/>
  <c r="G181" i="2"/>
  <c r="F181" i="2"/>
  <c r="E181" i="2"/>
  <c r="D181" i="2"/>
  <c r="C181" i="2"/>
  <c r="L180" i="2"/>
  <c r="J180" i="2"/>
  <c r="I180" i="2"/>
  <c r="H180" i="2"/>
  <c r="G180" i="2"/>
  <c r="F180" i="2"/>
  <c r="E180" i="2"/>
  <c r="D180" i="2"/>
  <c r="C180" i="2"/>
  <c r="L179" i="2"/>
  <c r="J179" i="2"/>
  <c r="I179" i="2"/>
  <c r="H179" i="2"/>
  <c r="G179" i="2"/>
  <c r="F179" i="2"/>
  <c r="E179" i="2"/>
  <c r="D179" i="2"/>
  <c r="C179" i="2"/>
  <c r="L178" i="2"/>
  <c r="J178" i="2"/>
  <c r="I178" i="2"/>
  <c r="H178" i="2"/>
  <c r="G178" i="2"/>
  <c r="F178" i="2"/>
  <c r="E178" i="2"/>
  <c r="D178" i="2"/>
  <c r="C178" i="2"/>
  <c r="L177" i="2"/>
  <c r="J177" i="2"/>
  <c r="I177" i="2"/>
  <c r="H177" i="2"/>
  <c r="G177" i="2"/>
  <c r="F177" i="2"/>
  <c r="E177" i="2"/>
  <c r="D177" i="2"/>
  <c r="C177" i="2"/>
  <c r="L176" i="2"/>
  <c r="J176" i="2"/>
  <c r="I176" i="2"/>
  <c r="H176" i="2"/>
  <c r="G176" i="2"/>
  <c r="F176" i="2"/>
  <c r="E176" i="2"/>
  <c r="D176" i="2"/>
  <c r="C176" i="2"/>
  <c r="L175" i="2"/>
  <c r="J175" i="2"/>
  <c r="I175" i="2"/>
  <c r="H175" i="2"/>
  <c r="G175" i="2"/>
  <c r="F175" i="2"/>
  <c r="E175" i="2"/>
  <c r="D175" i="2"/>
  <c r="C175" i="2"/>
  <c r="L174" i="2"/>
  <c r="J174" i="2"/>
  <c r="I174" i="2"/>
  <c r="H174" i="2"/>
  <c r="G174" i="2"/>
  <c r="F174" i="2"/>
  <c r="E174" i="2"/>
  <c r="D174" i="2"/>
  <c r="C174" i="2"/>
  <c r="L173" i="2"/>
  <c r="J173" i="2"/>
  <c r="I173" i="2"/>
  <c r="H173" i="2"/>
  <c r="G173" i="2"/>
  <c r="F173" i="2"/>
  <c r="E173" i="2"/>
  <c r="D173" i="2"/>
  <c r="C173" i="2"/>
  <c r="L172" i="2"/>
  <c r="J172" i="2"/>
  <c r="I172" i="2"/>
  <c r="H172" i="2"/>
  <c r="G172" i="2"/>
  <c r="F172" i="2"/>
  <c r="E172" i="2"/>
  <c r="D172" i="2"/>
  <c r="C172" i="2"/>
  <c r="L171" i="2"/>
  <c r="J171" i="2"/>
  <c r="I171" i="2"/>
  <c r="H171" i="2"/>
  <c r="G171" i="2"/>
  <c r="F171" i="2"/>
  <c r="E171" i="2"/>
  <c r="D171" i="2"/>
  <c r="C171" i="2"/>
  <c r="L170" i="2"/>
  <c r="J170" i="2"/>
  <c r="I170" i="2"/>
  <c r="H170" i="2"/>
  <c r="G170" i="2"/>
  <c r="F170" i="2"/>
  <c r="E170" i="2"/>
  <c r="D170" i="2"/>
  <c r="C170" i="2"/>
  <c r="L169" i="2"/>
  <c r="J169" i="2"/>
  <c r="I169" i="2"/>
  <c r="H169" i="2"/>
  <c r="G169" i="2"/>
  <c r="F169" i="2"/>
  <c r="E169" i="2"/>
  <c r="D169" i="2"/>
  <c r="C169" i="2"/>
  <c r="L168" i="2"/>
  <c r="J168" i="2"/>
  <c r="I168" i="2"/>
  <c r="H168" i="2"/>
  <c r="G168" i="2"/>
  <c r="F168" i="2"/>
  <c r="E168" i="2"/>
  <c r="D168" i="2"/>
  <c r="C168" i="2"/>
  <c r="L167" i="2"/>
  <c r="J167" i="2"/>
  <c r="I167" i="2"/>
  <c r="H167" i="2"/>
  <c r="G167" i="2"/>
  <c r="F167" i="2"/>
  <c r="E167" i="2"/>
  <c r="D167" i="2"/>
  <c r="C167" i="2"/>
  <c r="L166" i="2"/>
  <c r="J166" i="2"/>
  <c r="I166" i="2"/>
  <c r="H166" i="2"/>
  <c r="G166" i="2"/>
  <c r="F166" i="2"/>
  <c r="E166" i="2"/>
  <c r="D166" i="2"/>
  <c r="C166" i="2"/>
  <c r="L165" i="2"/>
  <c r="J165" i="2"/>
  <c r="I165" i="2"/>
  <c r="H165" i="2"/>
  <c r="G165" i="2"/>
  <c r="F165" i="2"/>
  <c r="E165" i="2"/>
  <c r="D165" i="2"/>
  <c r="C165" i="2"/>
  <c r="L164" i="2"/>
  <c r="J164" i="2"/>
  <c r="I164" i="2"/>
  <c r="H164" i="2"/>
  <c r="G164" i="2"/>
  <c r="F164" i="2"/>
  <c r="E164" i="2"/>
  <c r="D164" i="2"/>
  <c r="C164" i="2"/>
  <c r="L163" i="2"/>
  <c r="J163" i="2"/>
  <c r="I163" i="2"/>
  <c r="H163" i="2"/>
  <c r="G163" i="2"/>
  <c r="F163" i="2"/>
  <c r="E163" i="2"/>
  <c r="D163" i="2"/>
  <c r="C163" i="2"/>
  <c r="L162" i="2"/>
  <c r="J162" i="2"/>
  <c r="I162" i="2"/>
  <c r="H162" i="2"/>
  <c r="G162" i="2"/>
  <c r="F162" i="2"/>
  <c r="E162" i="2"/>
  <c r="D162" i="2"/>
  <c r="C162" i="2"/>
  <c r="L161" i="2"/>
  <c r="J161" i="2"/>
  <c r="I161" i="2"/>
  <c r="H161" i="2"/>
  <c r="G161" i="2"/>
  <c r="F161" i="2"/>
  <c r="E161" i="2"/>
  <c r="D161" i="2"/>
  <c r="C161" i="2"/>
  <c r="L160" i="2"/>
  <c r="J160" i="2"/>
  <c r="I160" i="2"/>
  <c r="H160" i="2"/>
  <c r="G160" i="2"/>
  <c r="F160" i="2"/>
  <c r="E160" i="2"/>
  <c r="D160" i="2"/>
  <c r="C160" i="2"/>
  <c r="L159" i="2"/>
  <c r="J159" i="2"/>
  <c r="I159" i="2"/>
  <c r="H159" i="2"/>
  <c r="G159" i="2"/>
  <c r="F159" i="2"/>
  <c r="E159" i="2"/>
  <c r="D159" i="2"/>
  <c r="C159" i="2"/>
  <c r="L158" i="2"/>
  <c r="J158" i="2"/>
  <c r="I158" i="2"/>
  <c r="H158" i="2"/>
  <c r="G158" i="2"/>
  <c r="F158" i="2"/>
  <c r="E158" i="2"/>
  <c r="D158" i="2"/>
  <c r="C158" i="2"/>
  <c r="L157" i="2"/>
  <c r="J157" i="2"/>
  <c r="I157" i="2"/>
  <c r="H157" i="2"/>
  <c r="G157" i="2"/>
  <c r="F157" i="2"/>
  <c r="E157" i="2"/>
  <c r="D157" i="2"/>
  <c r="C157" i="2"/>
  <c r="L156" i="2"/>
  <c r="J156" i="2"/>
  <c r="I156" i="2"/>
  <c r="H156" i="2"/>
  <c r="G156" i="2"/>
  <c r="F156" i="2"/>
  <c r="E156" i="2"/>
  <c r="D156" i="2"/>
  <c r="C156" i="2"/>
  <c r="L155" i="2"/>
  <c r="J155" i="2"/>
  <c r="I155" i="2"/>
  <c r="H155" i="2"/>
  <c r="G155" i="2"/>
  <c r="F155" i="2"/>
  <c r="E155" i="2"/>
  <c r="D155" i="2"/>
  <c r="C155" i="2"/>
  <c r="L154" i="2"/>
  <c r="J154" i="2"/>
  <c r="I154" i="2"/>
  <c r="H154" i="2"/>
  <c r="G154" i="2"/>
  <c r="F154" i="2"/>
  <c r="E154" i="2"/>
  <c r="D154" i="2"/>
  <c r="C154" i="2"/>
  <c r="L153" i="2"/>
  <c r="J153" i="2"/>
  <c r="I153" i="2"/>
  <c r="H153" i="2"/>
  <c r="G153" i="2"/>
  <c r="F153" i="2"/>
  <c r="E153" i="2"/>
  <c r="D153" i="2"/>
  <c r="C153" i="2"/>
  <c r="L152" i="2"/>
  <c r="J152" i="2"/>
  <c r="I152" i="2"/>
  <c r="H152" i="2"/>
  <c r="G152" i="2"/>
  <c r="F152" i="2"/>
  <c r="E152" i="2"/>
  <c r="D152" i="2"/>
  <c r="C152" i="2"/>
  <c r="L151" i="2"/>
  <c r="J151" i="2"/>
  <c r="I151" i="2"/>
  <c r="H151" i="2"/>
  <c r="G151" i="2"/>
  <c r="F151" i="2"/>
  <c r="E151" i="2"/>
  <c r="D151" i="2"/>
  <c r="C151" i="2"/>
  <c r="L150" i="2"/>
  <c r="J150" i="2"/>
  <c r="I150" i="2"/>
  <c r="H150" i="2"/>
  <c r="G150" i="2"/>
  <c r="F150" i="2"/>
  <c r="E150" i="2"/>
  <c r="D150" i="2"/>
  <c r="C150" i="2"/>
  <c r="L149" i="2"/>
  <c r="J149" i="2"/>
  <c r="I149" i="2"/>
  <c r="H149" i="2"/>
  <c r="G149" i="2"/>
  <c r="F149" i="2"/>
  <c r="E149" i="2"/>
  <c r="D149" i="2"/>
  <c r="C149" i="2"/>
  <c r="L148" i="2"/>
  <c r="J148" i="2"/>
  <c r="I148" i="2"/>
  <c r="H148" i="2"/>
  <c r="G148" i="2"/>
  <c r="F148" i="2"/>
  <c r="E148" i="2"/>
  <c r="D148" i="2"/>
  <c r="C148" i="2"/>
  <c r="L147" i="2"/>
  <c r="J147" i="2"/>
  <c r="I147" i="2"/>
  <c r="H147" i="2"/>
  <c r="G147" i="2"/>
  <c r="F147" i="2"/>
  <c r="E147" i="2"/>
  <c r="D147" i="2"/>
  <c r="C147" i="2"/>
  <c r="L146" i="2"/>
  <c r="J146" i="2"/>
  <c r="I146" i="2"/>
  <c r="H146" i="2"/>
  <c r="G146" i="2"/>
  <c r="F146" i="2"/>
  <c r="E146" i="2"/>
  <c r="D146" i="2"/>
  <c r="C146" i="2"/>
  <c r="L145" i="2"/>
  <c r="J145" i="2"/>
  <c r="I145" i="2"/>
  <c r="H145" i="2"/>
  <c r="G145" i="2"/>
  <c r="F145" i="2"/>
  <c r="E145" i="2"/>
  <c r="D145" i="2"/>
  <c r="C145" i="2"/>
  <c r="L144" i="2"/>
  <c r="J144" i="2"/>
  <c r="I144" i="2"/>
  <c r="H144" i="2"/>
  <c r="G144" i="2"/>
  <c r="F144" i="2"/>
  <c r="E144" i="2"/>
  <c r="D144" i="2"/>
  <c r="C144" i="2"/>
  <c r="L143" i="2"/>
  <c r="J143" i="2"/>
  <c r="I143" i="2"/>
  <c r="H143" i="2"/>
  <c r="G143" i="2"/>
  <c r="F143" i="2"/>
  <c r="E143" i="2"/>
  <c r="D143" i="2"/>
  <c r="C143" i="2"/>
  <c r="L142" i="2"/>
  <c r="J142" i="2"/>
  <c r="I142" i="2"/>
  <c r="H142" i="2"/>
  <c r="G142" i="2"/>
  <c r="F142" i="2"/>
  <c r="E142" i="2"/>
  <c r="D142" i="2"/>
  <c r="C142" i="2"/>
  <c r="L141" i="2"/>
  <c r="J141" i="2"/>
  <c r="I141" i="2"/>
  <c r="H141" i="2"/>
  <c r="G141" i="2"/>
  <c r="F141" i="2"/>
  <c r="E141" i="2"/>
  <c r="D141" i="2"/>
  <c r="C141" i="2"/>
  <c r="L140" i="2"/>
  <c r="J140" i="2"/>
  <c r="I140" i="2"/>
  <c r="H140" i="2"/>
  <c r="G140" i="2"/>
  <c r="F140" i="2"/>
  <c r="E140" i="2"/>
  <c r="D140" i="2"/>
  <c r="C140" i="2"/>
  <c r="L139" i="2"/>
  <c r="J139" i="2"/>
  <c r="I139" i="2"/>
  <c r="H139" i="2"/>
  <c r="G139" i="2"/>
  <c r="F139" i="2"/>
  <c r="E139" i="2"/>
  <c r="D139" i="2"/>
  <c r="C139" i="2"/>
  <c r="L138" i="2"/>
  <c r="J138" i="2"/>
  <c r="I138" i="2"/>
  <c r="H138" i="2"/>
  <c r="G138" i="2"/>
  <c r="F138" i="2"/>
  <c r="E138" i="2"/>
  <c r="D138" i="2"/>
  <c r="C138" i="2"/>
  <c r="L137" i="2"/>
  <c r="J137" i="2"/>
  <c r="I137" i="2"/>
  <c r="H137" i="2"/>
  <c r="G137" i="2"/>
  <c r="F137" i="2"/>
  <c r="E137" i="2"/>
  <c r="D137" i="2"/>
  <c r="C137" i="2"/>
  <c r="L136" i="2"/>
  <c r="J136" i="2"/>
  <c r="I136" i="2"/>
  <c r="H136" i="2"/>
  <c r="G136" i="2"/>
  <c r="F136" i="2"/>
  <c r="E136" i="2"/>
  <c r="D136" i="2"/>
  <c r="C136" i="2"/>
  <c r="L135" i="2"/>
  <c r="J135" i="2"/>
  <c r="I135" i="2"/>
  <c r="H135" i="2"/>
  <c r="G135" i="2"/>
  <c r="F135" i="2"/>
  <c r="E135" i="2"/>
  <c r="D135" i="2"/>
  <c r="C135" i="2"/>
  <c r="L134" i="2"/>
  <c r="J134" i="2"/>
  <c r="I134" i="2"/>
  <c r="H134" i="2"/>
  <c r="G134" i="2"/>
  <c r="F134" i="2"/>
  <c r="E134" i="2"/>
  <c r="D134" i="2"/>
  <c r="C134" i="2"/>
  <c r="L133" i="2"/>
  <c r="J133" i="2"/>
  <c r="I133" i="2"/>
  <c r="H133" i="2"/>
  <c r="G133" i="2"/>
  <c r="F133" i="2"/>
  <c r="E133" i="2"/>
  <c r="D133" i="2"/>
  <c r="C133" i="2"/>
  <c r="L132" i="2"/>
  <c r="J132" i="2"/>
  <c r="I132" i="2"/>
  <c r="H132" i="2"/>
  <c r="G132" i="2"/>
  <c r="F132" i="2"/>
  <c r="E132" i="2"/>
  <c r="D132" i="2"/>
  <c r="C132" i="2"/>
  <c r="L131" i="2"/>
  <c r="J131" i="2"/>
  <c r="I131" i="2"/>
  <c r="H131" i="2"/>
  <c r="G131" i="2"/>
  <c r="F131" i="2"/>
  <c r="E131" i="2"/>
  <c r="D131" i="2"/>
  <c r="C131" i="2"/>
  <c r="L130" i="2"/>
  <c r="J130" i="2"/>
  <c r="I130" i="2"/>
  <c r="H130" i="2"/>
  <c r="G130" i="2"/>
  <c r="F130" i="2"/>
  <c r="E130" i="2"/>
  <c r="D130" i="2"/>
  <c r="C130" i="2"/>
  <c r="L129" i="2"/>
  <c r="J129" i="2"/>
  <c r="I129" i="2"/>
  <c r="H129" i="2"/>
  <c r="G129" i="2"/>
  <c r="F129" i="2"/>
  <c r="E129" i="2"/>
  <c r="D129" i="2"/>
  <c r="C129" i="2"/>
  <c r="L128" i="2"/>
  <c r="J128" i="2"/>
  <c r="I128" i="2"/>
  <c r="H128" i="2"/>
  <c r="G128" i="2"/>
  <c r="F128" i="2"/>
  <c r="E128" i="2"/>
  <c r="D128" i="2"/>
  <c r="C128" i="2"/>
  <c r="L127" i="2"/>
  <c r="J127" i="2"/>
  <c r="I127" i="2"/>
  <c r="H127" i="2"/>
  <c r="G127" i="2"/>
  <c r="F127" i="2"/>
  <c r="E127" i="2"/>
  <c r="D127" i="2"/>
  <c r="C127" i="2"/>
  <c r="L126" i="2"/>
  <c r="J126" i="2"/>
  <c r="I126" i="2"/>
  <c r="H126" i="2"/>
  <c r="G126" i="2"/>
  <c r="F126" i="2"/>
  <c r="E126" i="2"/>
  <c r="D126" i="2"/>
  <c r="C126" i="2"/>
  <c r="L125" i="2"/>
  <c r="J125" i="2"/>
  <c r="I125" i="2"/>
  <c r="H125" i="2"/>
  <c r="G125" i="2"/>
  <c r="F125" i="2"/>
  <c r="E125" i="2"/>
  <c r="D125" i="2"/>
  <c r="C125" i="2"/>
  <c r="L124" i="2"/>
  <c r="J124" i="2"/>
  <c r="I124" i="2"/>
  <c r="H124" i="2"/>
  <c r="G124" i="2"/>
  <c r="F124" i="2"/>
  <c r="E124" i="2"/>
  <c r="D124" i="2"/>
  <c r="C124" i="2"/>
  <c r="L123" i="2"/>
  <c r="J123" i="2"/>
  <c r="I123" i="2"/>
  <c r="H123" i="2"/>
  <c r="G123" i="2"/>
  <c r="F123" i="2"/>
  <c r="E123" i="2"/>
  <c r="D123" i="2"/>
  <c r="C123" i="2"/>
  <c r="L122" i="2"/>
  <c r="J122" i="2"/>
  <c r="I122" i="2"/>
  <c r="H122" i="2"/>
  <c r="G122" i="2"/>
  <c r="F122" i="2"/>
  <c r="E122" i="2"/>
  <c r="D122" i="2"/>
  <c r="C122" i="2"/>
  <c r="L121" i="2"/>
  <c r="J121" i="2"/>
  <c r="I121" i="2"/>
  <c r="H121" i="2"/>
  <c r="G121" i="2"/>
  <c r="F121" i="2"/>
  <c r="E121" i="2"/>
  <c r="D121" i="2"/>
  <c r="C121" i="2"/>
  <c r="L120" i="2"/>
  <c r="J120" i="2"/>
  <c r="I120" i="2"/>
  <c r="H120" i="2"/>
  <c r="G120" i="2"/>
  <c r="F120" i="2"/>
  <c r="E120" i="2"/>
  <c r="D120" i="2"/>
  <c r="C120" i="2"/>
  <c r="L119" i="2"/>
  <c r="J119" i="2"/>
  <c r="I119" i="2"/>
  <c r="H119" i="2"/>
  <c r="G119" i="2"/>
  <c r="F119" i="2"/>
  <c r="E119" i="2"/>
  <c r="D119" i="2"/>
  <c r="C119" i="2"/>
  <c r="L118" i="2"/>
  <c r="J118" i="2"/>
  <c r="I118" i="2"/>
  <c r="H118" i="2"/>
  <c r="G118" i="2"/>
  <c r="F118" i="2"/>
  <c r="E118" i="2"/>
  <c r="D118" i="2"/>
  <c r="C118" i="2"/>
  <c r="L117" i="2"/>
  <c r="J117" i="2"/>
  <c r="I117" i="2"/>
  <c r="H117" i="2"/>
  <c r="G117" i="2"/>
  <c r="F117" i="2"/>
  <c r="E117" i="2"/>
  <c r="D117" i="2"/>
  <c r="C117" i="2"/>
  <c r="L116" i="2"/>
  <c r="J116" i="2"/>
  <c r="I116" i="2"/>
  <c r="H116" i="2"/>
  <c r="G116" i="2"/>
  <c r="F116" i="2"/>
  <c r="E116" i="2"/>
  <c r="D116" i="2"/>
  <c r="C116" i="2"/>
  <c r="L115" i="2"/>
  <c r="J115" i="2"/>
  <c r="I115" i="2"/>
  <c r="H115" i="2"/>
  <c r="G115" i="2"/>
  <c r="F115" i="2"/>
  <c r="E115" i="2"/>
  <c r="D115" i="2"/>
  <c r="C115" i="2"/>
  <c r="L114" i="2"/>
  <c r="J114" i="2"/>
  <c r="I114" i="2"/>
  <c r="H114" i="2"/>
  <c r="G114" i="2"/>
  <c r="F114" i="2"/>
  <c r="E114" i="2"/>
  <c r="D114" i="2"/>
  <c r="C114" i="2"/>
  <c r="L113" i="2"/>
  <c r="J113" i="2"/>
  <c r="I113" i="2"/>
  <c r="H113" i="2"/>
  <c r="G113" i="2"/>
  <c r="F113" i="2"/>
  <c r="E113" i="2"/>
  <c r="D113" i="2"/>
  <c r="C113" i="2"/>
  <c r="L112" i="2"/>
  <c r="J112" i="2"/>
  <c r="I112" i="2"/>
  <c r="H112" i="2"/>
  <c r="G112" i="2"/>
  <c r="F112" i="2"/>
  <c r="E112" i="2"/>
  <c r="D112" i="2"/>
  <c r="C112" i="2"/>
  <c r="L111" i="2"/>
  <c r="J111" i="2"/>
  <c r="I111" i="2"/>
  <c r="H111" i="2"/>
  <c r="G111" i="2"/>
  <c r="F111" i="2"/>
  <c r="E111" i="2"/>
  <c r="D111" i="2"/>
  <c r="C111" i="2"/>
  <c r="L110" i="2"/>
  <c r="J110" i="2"/>
  <c r="I110" i="2"/>
  <c r="H110" i="2"/>
  <c r="G110" i="2"/>
  <c r="F110" i="2"/>
  <c r="E110" i="2"/>
  <c r="D110" i="2"/>
  <c r="C110" i="2"/>
  <c r="L109" i="2"/>
  <c r="J109" i="2"/>
  <c r="I109" i="2"/>
  <c r="H109" i="2"/>
  <c r="G109" i="2"/>
  <c r="F109" i="2"/>
  <c r="E109" i="2"/>
  <c r="D109" i="2"/>
  <c r="C109" i="2"/>
  <c r="L108" i="2"/>
  <c r="J108" i="2"/>
  <c r="I108" i="2"/>
  <c r="H108" i="2"/>
  <c r="G108" i="2"/>
  <c r="F108" i="2"/>
  <c r="E108" i="2"/>
  <c r="D108" i="2"/>
  <c r="C108" i="2"/>
  <c r="L107" i="2"/>
  <c r="J107" i="2"/>
  <c r="I107" i="2"/>
  <c r="H107" i="2"/>
  <c r="G107" i="2"/>
  <c r="F107" i="2"/>
  <c r="E107" i="2"/>
  <c r="D107" i="2"/>
  <c r="C107" i="2"/>
  <c r="L106" i="2"/>
  <c r="J106" i="2"/>
  <c r="I106" i="2"/>
  <c r="H106" i="2"/>
  <c r="G106" i="2"/>
  <c r="F106" i="2"/>
  <c r="E106" i="2"/>
  <c r="D106" i="2"/>
  <c r="C106" i="2"/>
  <c r="L105" i="2"/>
  <c r="J105" i="2"/>
  <c r="I105" i="2"/>
  <c r="H105" i="2"/>
  <c r="G105" i="2"/>
  <c r="F105" i="2"/>
  <c r="E105" i="2"/>
  <c r="D105" i="2"/>
  <c r="C105" i="2"/>
  <c r="L104" i="2"/>
  <c r="J104" i="2"/>
  <c r="I104" i="2"/>
  <c r="H104" i="2"/>
  <c r="G104" i="2"/>
  <c r="F104" i="2"/>
  <c r="E104" i="2"/>
  <c r="D104" i="2"/>
  <c r="C104" i="2"/>
  <c r="L103" i="2"/>
  <c r="J103" i="2"/>
  <c r="I103" i="2"/>
  <c r="H103" i="2"/>
  <c r="G103" i="2"/>
  <c r="F103" i="2"/>
  <c r="E103" i="2"/>
  <c r="D103" i="2"/>
  <c r="C103" i="2"/>
  <c r="L102" i="2"/>
  <c r="J102" i="2"/>
  <c r="I102" i="2"/>
  <c r="H102" i="2"/>
  <c r="G102" i="2"/>
  <c r="F102" i="2"/>
  <c r="E102" i="2"/>
  <c r="D102" i="2"/>
  <c r="C102" i="2"/>
  <c r="L101" i="2"/>
  <c r="J101" i="2"/>
  <c r="I101" i="2"/>
  <c r="H101" i="2"/>
  <c r="G101" i="2"/>
  <c r="F101" i="2"/>
  <c r="E101" i="2"/>
  <c r="D101" i="2"/>
  <c r="C101" i="2"/>
  <c r="L100" i="2"/>
  <c r="J100" i="2"/>
  <c r="I100" i="2"/>
  <c r="H100" i="2"/>
  <c r="G100" i="2"/>
  <c r="F100" i="2"/>
  <c r="E100" i="2"/>
  <c r="D100" i="2"/>
  <c r="C100" i="2"/>
  <c r="L99" i="2"/>
  <c r="J99" i="2"/>
  <c r="I99" i="2"/>
  <c r="H99" i="2"/>
  <c r="G99" i="2"/>
  <c r="F99" i="2"/>
  <c r="E99" i="2"/>
  <c r="D99" i="2"/>
  <c r="C99" i="2"/>
  <c r="L98" i="2"/>
  <c r="J98" i="2"/>
  <c r="I98" i="2"/>
  <c r="H98" i="2"/>
  <c r="G98" i="2"/>
  <c r="F98" i="2"/>
  <c r="E98" i="2"/>
  <c r="D98" i="2"/>
  <c r="C98" i="2"/>
  <c r="L97" i="2"/>
  <c r="J97" i="2"/>
  <c r="I97" i="2"/>
  <c r="H97" i="2"/>
  <c r="G97" i="2"/>
  <c r="F97" i="2"/>
  <c r="E97" i="2"/>
  <c r="D97" i="2"/>
  <c r="C97" i="2"/>
  <c r="L96" i="2"/>
  <c r="J96" i="2"/>
  <c r="I96" i="2"/>
  <c r="H96" i="2"/>
  <c r="G96" i="2"/>
  <c r="F96" i="2"/>
  <c r="E96" i="2"/>
  <c r="D96" i="2"/>
  <c r="C96" i="2"/>
  <c r="L95" i="2"/>
  <c r="J95" i="2"/>
  <c r="I95" i="2"/>
  <c r="H95" i="2"/>
  <c r="G95" i="2"/>
  <c r="F95" i="2"/>
  <c r="E95" i="2"/>
  <c r="D95" i="2"/>
  <c r="C95" i="2"/>
  <c r="L94" i="2"/>
  <c r="J94" i="2"/>
  <c r="I94" i="2"/>
  <c r="H94" i="2"/>
  <c r="G94" i="2"/>
  <c r="F94" i="2"/>
  <c r="E94" i="2"/>
  <c r="D94" i="2"/>
  <c r="C94" i="2"/>
  <c r="L93" i="2"/>
  <c r="J93" i="2"/>
  <c r="I93" i="2"/>
  <c r="H93" i="2"/>
  <c r="G93" i="2"/>
  <c r="F93" i="2"/>
  <c r="E93" i="2"/>
  <c r="D93" i="2"/>
  <c r="C93" i="2"/>
  <c r="L92" i="2"/>
  <c r="J92" i="2"/>
  <c r="I92" i="2"/>
  <c r="H92" i="2"/>
  <c r="G92" i="2"/>
  <c r="F92" i="2"/>
  <c r="E92" i="2"/>
  <c r="D92" i="2"/>
  <c r="C92" i="2"/>
  <c r="L91" i="2"/>
  <c r="J91" i="2"/>
  <c r="I91" i="2"/>
  <c r="H91" i="2"/>
  <c r="G91" i="2"/>
  <c r="F91" i="2"/>
  <c r="E91" i="2"/>
  <c r="D91" i="2"/>
  <c r="C91" i="2"/>
  <c r="L90" i="2"/>
  <c r="J90" i="2"/>
  <c r="I90" i="2"/>
  <c r="H90" i="2"/>
  <c r="G90" i="2"/>
  <c r="F90" i="2"/>
  <c r="E90" i="2"/>
  <c r="D90" i="2"/>
  <c r="C90" i="2"/>
  <c r="L89" i="2"/>
  <c r="J89" i="2"/>
  <c r="I89" i="2"/>
  <c r="H89" i="2"/>
  <c r="G89" i="2"/>
  <c r="F89" i="2"/>
  <c r="E89" i="2"/>
  <c r="D89" i="2"/>
  <c r="C89" i="2"/>
  <c r="L88" i="2"/>
  <c r="J88" i="2"/>
  <c r="I88" i="2"/>
  <c r="H88" i="2"/>
  <c r="G88" i="2"/>
  <c r="F88" i="2"/>
  <c r="E88" i="2"/>
  <c r="D88" i="2"/>
  <c r="C88" i="2"/>
  <c r="L87" i="2"/>
  <c r="J87" i="2"/>
  <c r="I87" i="2"/>
  <c r="H87" i="2"/>
  <c r="G87" i="2"/>
  <c r="F87" i="2"/>
  <c r="E87" i="2"/>
  <c r="D87" i="2"/>
  <c r="C87" i="2"/>
  <c r="L86" i="2"/>
  <c r="J86" i="2"/>
  <c r="I86" i="2"/>
  <c r="H86" i="2"/>
  <c r="G86" i="2"/>
  <c r="F86" i="2"/>
  <c r="E86" i="2"/>
  <c r="D86" i="2"/>
  <c r="C86" i="2"/>
  <c r="L85" i="2"/>
  <c r="J85" i="2"/>
  <c r="I85" i="2"/>
  <c r="H85" i="2"/>
  <c r="G85" i="2"/>
  <c r="F85" i="2"/>
  <c r="E85" i="2"/>
  <c r="D85" i="2"/>
  <c r="C85" i="2"/>
  <c r="L84" i="2"/>
  <c r="J84" i="2"/>
  <c r="I84" i="2"/>
  <c r="H84" i="2"/>
  <c r="G84" i="2"/>
  <c r="F84" i="2"/>
  <c r="E84" i="2"/>
  <c r="D84" i="2"/>
  <c r="C84" i="2"/>
  <c r="L83" i="2"/>
  <c r="J83" i="2"/>
  <c r="I83" i="2"/>
  <c r="H83" i="2"/>
  <c r="G83" i="2"/>
  <c r="F83" i="2"/>
  <c r="E83" i="2"/>
  <c r="D83" i="2"/>
  <c r="C83" i="2"/>
  <c r="L82" i="2"/>
  <c r="J82" i="2"/>
  <c r="I82" i="2"/>
  <c r="H82" i="2"/>
  <c r="G82" i="2"/>
  <c r="F82" i="2"/>
  <c r="E82" i="2"/>
  <c r="D82" i="2"/>
  <c r="C82" i="2"/>
  <c r="L81" i="2"/>
  <c r="J81" i="2"/>
  <c r="I81" i="2"/>
  <c r="H81" i="2"/>
  <c r="G81" i="2"/>
  <c r="F81" i="2"/>
  <c r="E81" i="2"/>
  <c r="D81" i="2"/>
  <c r="C81" i="2"/>
  <c r="L80" i="2"/>
  <c r="J80" i="2"/>
  <c r="I80" i="2"/>
  <c r="H80" i="2"/>
  <c r="G80" i="2"/>
  <c r="F80" i="2"/>
  <c r="E80" i="2"/>
  <c r="D80" i="2"/>
  <c r="C80" i="2"/>
  <c r="L79" i="2"/>
  <c r="J79" i="2"/>
  <c r="I79" i="2"/>
  <c r="H79" i="2"/>
  <c r="G79" i="2"/>
  <c r="F79" i="2"/>
  <c r="E79" i="2"/>
  <c r="D79" i="2"/>
  <c r="C79" i="2"/>
  <c r="L78" i="2"/>
  <c r="J78" i="2"/>
  <c r="I78" i="2"/>
  <c r="H78" i="2"/>
  <c r="G78" i="2"/>
  <c r="F78" i="2"/>
  <c r="E78" i="2"/>
  <c r="D78" i="2"/>
  <c r="C78" i="2"/>
  <c r="L77" i="2"/>
  <c r="J77" i="2"/>
  <c r="I77" i="2"/>
  <c r="H77" i="2"/>
  <c r="G77" i="2"/>
  <c r="F77" i="2"/>
  <c r="E77" i="2"/>
  <c r="D77" i="2"/>
  <c r="C77" i="2"/>
  <c r="L76" i="2"/>
  <c r="J76" i="2"/>
  <c r="I76" i="2"/>
  <c r="H76" i="2"/>
  <c r="G76" i="2"/>
  <c r="F76" i="2"/>
  <c r="E76" i="2"/>
  <c r="D76" i="2"/>
  <c r="C76" i="2"/>
  <c r="L75" i="2"/>
  <c r="J75" i="2"/>
  <c r="I75" i="2"/>
  <c r="H75" i="2"/>
  <c r="G75" i="2"/>
  <c r="F75" i="2"/>
  <c r="E75" i="2"/>
  <c r="D75" i="2"/>
  <c r="C75" i="2"/>
  <c r="L74" i="2"/>
  <c r="J74" i="2"/>
  <c r="I74" i="2"/>
  <c r="H74" i="2"/>
  <c r="G74" i="2"/>
  <c r="F74" i="2"/>
  <c r="E74" i="2"/>
  <c r="D74" i="2"/>
  <c r="C74" i="2"/>
  <c r="L73" i="2"/>
  <c r="J73" i="2"/>
  <c r="I73" i="2"/>
  <c r="H73" i="2"/>
  <c r="G73" i="2"/>
  <c r="F73" i="2"/>
  <c r="E73" i="2"/>
  <c r="D73" i="2"/>
  <c r="C73" i="2"/>
  <c r="L72" i="2"/>
  <c r="J72" i="2"/>
  <c r="I72" i="2"/>
  <c r="H72" i="2"/>
  <c r="G72" i="2"/>
  <c r="F72" i="2"/>
  <c r="E72" i="2"/>
  <c r="D72" i="2"/>
  <c r="C72" i="2"/>
  <c r="L71" i="2"/>
  <c r="J71" i="2"/>
  <c r="I71" i="2"/>
  <c r="H71" i="2"/>
  <c r="G71" i="2"/>
  <c r="F71" i="2"/>
  <c r="E71" i="2"/>
  <c r="D71" i="2"/>
  <c r="C71" i="2"/>
  <c r="L70" i="2"/>
  <c r="J70" i="2"/>
  <c r="I70" i="2"/>
  <c r="H70" i="2"/>
  <c r="G70" i="2"/>
  <c r="F70" i="2"/>
  <c r="E70" i="2"/>
  <c r="D70" i="2"/>
  <c r="C70" i="2"/>
  <c r="L69" i="2"/>
  <c r="J69" i="2"/>
  <c r="I69" i="2"/>
  <c r="H69" i="2"/>
  <c r="G69" i="2"/>
  <c r="F69" i="2"/>
  <c r="E69" i="2"/>
  <c r="D69" i="2"/>
  <c r="C69" i="2"/>
  <c r="L68" i="2"/>
  <c r="J68" i="2"/>
  <c r="I68" i="2"/>
  <c r="H68" i="2"/>
  <c r="G68" i="2"/>
  <c r="F68" i="2"/>
  <c r="E68" i="2"/>
  <c r="D68" i="2"/>
  <c r="C68" i="2"/>
  <c r="L67" i="2"/>
  <c r="J67" i="2"/>
  <c r="I67" i="2"/>
  <c r="H67" i="2"/>
  <c r="G67" i="2"/>
  <c r="F67" i="2"/>
  <c r="E67" i="2"/>
  <c r="D67" i="2"/>
  <c r="C67" i="2"/>
  <c r="L66" i="2"/>
  <c r="J66" i="2"/>
  <c r="I66" i="2"/>
  <c r="H66" i="2"/>
  <c r="G66" i="2"/>
  <c r="F66" i="2"/>
  <c r="E66" i="2"/>
  <c r="D66" i="2"/>
  <c r="C66" i="2"/>
  <c r="L65" i="2"/>
  <c r="J65" i="2"/>
  <c r="I65" i="2"/>
  <c r="H65" i="2"/>
  <c r="G65" i="2"/>
  <c r="F65" i="2"/>
  <c r="E65" i="2"/>
  <c r="D65" i="2"/>
  <c r="C65" i="2"/>
  <c r="L64" i="2"/>
  <c r="J64" i="2"/>
  <c r="I64" i="2"/>
  <c r="H64" i="2"/>
  <c r="G64" i="2"/>
  <c r="F64" i="2"/>
  <c r="E64" i="2"/>
  <c r="D64" i="2"/>
  <c r="C64" i="2"/>
  <c r="L63" i="2"/>
  <c r="J63" i="2"/>
  <c r="I63" i="2"/>
  <c r="H63" i="2"/>
  <c r="G63" i="2"/>
  <c r="F63" i="2"/>
  <c r="E63" i="2"/>
  <c r="D63" i="2"/>
  <c r="C63" i="2"/>
  <c r="L62" i="2"/>
  <c r="J62" i="2"/>
  <c r="I62" i="2"/>
  <c r="H62" i="2"/>
  <c r="G62" i="2"/>
  <c r="F62" i="2"/>
  <c r="E62" i="2"/>
  <c r="D62" i="2"/>
  <c r="C62" i="2"/>
  <c r="L61" i="2"/>
  <c r="J61" i="2"/>
  <c r="I61" i="2"/>
  <c r="H61" i="2"/>
  <c r="G61" i="2"/>
  <c r="F61" i="2"/>
  <c r="E61" i="2"/>
  <c r="D61" i="2"/>
  <c r="C61" i="2"/>
  <c r="L60" i="2"/>
  <c r="J60" i="2"/>
  <c r="I60" i="2"/>
  <c r="H60" i="2"/>
  <c r="G60" i="2"/>
  <c r="F60" i="2"/>
  <c r="E60" i="2"/>
  <c r="D60" i="2"/>
  <c r="C60" i="2"/>
  <c r="L59" i="2"/>
  <c r="J59" i="2"/>
  <c r="I59" i="2"/>
  <c r="H59" i="2"/>
  <c r="G59" i="2"/>
  <c r="F59" i="2"/>
  <c r="E59" i="2"/>
  <c r="D59" i="2"/>
  <c r="C59" i="2"/>
  <c r="L58" i="2"/>
  <c r="J58" i="2"/>
  <c r="I58" i="2"/>
  <c r="H58" i="2"/>
  <c r="G58" i="2"/>
  <c r="F58" i="2"/>
  <c r="E58" i="2"/>
  <c r="D58" i="2"/>
  <c r="C58" i="2"/>
  <c r="L57" i="2"/>
  <c r="J57" i="2"/>
  <c r="I57" i="2"/>
  <c r="H57" i="2"/>
  <c r="G57" i="2"/>
  <c r="F57" i="2"/>
  <c r="E57" i="2"/>
  <c r="D57" i="2"/>
  <c r="C57" i="2"/>
  <c r="L56" i="2"/>
  <c r="J56" i="2"/>
  <c r="I56" i="2"/>
  <c r="H56" i="2"/>
  <c r="G56" i="2"/>
  <c r="F56" i="2"/>
  <c r="E56" i="2"/>
  <c r="D56" i="2"/>
  <c r="C56" i="2"/>
  <c r="L55" i="2"/>
  <c r="J55" i="2"/>
  <c r="I55" i="2"/>
  <c r="H55" i="2"/>
  <c r="G55" i="2"/>
  <c r="F55" i="2"/>
  <c r="E55" i="2"/>
  <c r="D55" i="2"/>
  <c r="C55" i="2"/>
  <c r="L54" i="2"/>
  <c r="J54" i="2"/>
  <c r="I54" i="2"/>
  <c r="H54" i="2"/>
  <c r="G54" i="2"/>
  <c r="F54" i="2"/>
  <c r="E54" i="2"/>
  <c r="D54" i="2"/>
  <c r="C54" i="2"/>
  <c r="L53" i="2"/>
  <c r="J53" i="2"/>
  <c r="I53" i="2"/>
  <c r="H53" i="2"/>
  <c r="G53" i="2"/>
  <c r="F53" i="2"/>
  <c r="E53" i="2"/>
  <c r="D53" i="2"/>
  <c r="C53" i="2"/>
  <c r="L52" i="2"/>
  <c r="J52" i="2"/>
  <c r="I52" i="2"/>
  <c r="H52" i="2"/>
  <c r="G52" i="2"/>
  <c r="F52" i="2"/>
  <c r="E52" i="2"/>
  <c r="D52" i="2"/>
  <c r="C52" i="2"/>
  <c r="L51" i="2"/>
  <c r="J51" i="2"/>
  <c r="I51" i="2"/>
  <c r="H51" i="2"/>
  <c r="G51" i="2"/>
  <c r="F51" i="2"/>
  <c r="E51" i="2"/>
  <c r="D51" i="2"/>
  <c r="C51" i="2"/>
  <c r="L50" i="2"/>
  <c r="J50" i="2"/>
  <c r="I50" i="2"/>
  <c r="H50" i="2"/>
  <c r="G50" i="2"/>
  <c r="F50" i="2"/>
  <c r="E50" i="2"/>
  <c r="D50" i="2"/>
  <c r="C50" i="2"/>
  <c r="L49" i="2"/>
  <c r="J49" i="2"/>
  <c r="I49" i="2"/>
  <c r="H49" i="2"/>
  <c r="G49" i="2"/>
  <c r="F49" i="2"/>
  <c r="E49" i="2"/>
  <c r="D49" i="2"/>
  <c r="C49" i="2"/>
  <c r="L48" i="2"/>
  <c r="J48" i="2"/>
  <c r="I48" i="2"/>
  <c r="H48" i="2"/>
  <c r="G48" i="2"/>
  <c r="F48" i="2"/>
  <c r="E48" i="2"/>
  <c r="D48" i="2"/>
  <c r="C48" i="2"/>
  <c r="L47" i="2"/>
  <c r="J47" i="2"/>
  <c r="I47" i="2"/>
  <c r="H47" i="2"/>
  <c r="G47" i="2"/>
  <c r="F47" i="2"/>
  <c r="E47" i="2"/>
  <c r="D47" i="2"/>
  <c r="C47" i="2"/>
  <c r="L46" i="2"/>
  <c r="J46" i="2"/>
  <c r="I46" i="2"/>
  <c r="H46" i="2"/>
  <c r="G46" i="2"/>
  <c r="F46" i="2"/>
  <c r="E46" i="2"/>
  <c r="D46" i="2"/>
  <c r="C46" i="2"/>
  <c r="L45" i="2"/>
  <c r="J45" i="2"/>
  <c r="I45" i="2"/>
  <c r="H45" i="2"/>
  <c r="G45" i="2"/>
  <c r="F45" i="2"/>
  <c r="E45" i="2"/>
  <c r="D45" i="2"/>
  <c r="C45" i="2"/>
  <c r="L44" i="2"/>
  <c r="J44" i="2"/>
  <c r="I44" i="2"/>
  <c r="H44" i="2"/>
  <c r="G44" i="2"/>
  <c r="F44" i="2"/>
  <c r="E44" i="2"/>
  <c r="D44" i="2"/>
  <c r="C44" i="2"/>
  <c r="L43" i="2"/>
  <c r="J43" i="2"/>
  <c r="I43" i="2"/>
  <c r="H43" i="2"/>
  <c r="G43" i="2"/>
  <c r="F43" i="2"/>
  <c r="E43" i="2"/>
  <c r="D43" i="2"/>
  <c r="C43" i="2"/>
  <c r="L42" i="2"/>
  <c r="J42" i="2"/>
  <c r="I42" i="2"/>
  <c r="H42" i="2"/>
  <c r="G42" i="2"/>
  <c r="F42" i="2"/>
  <c r="E42" i="2"/>
  <c r="D42" i="2"/>
  <c r="C42" i="2"/>
  <c r="L41" i="2"/>
  <c r="J41" i="2"/>
  <c r="I41" i="2"/>
  <c r="H41" i="2"/>
  <c r="G41" i="2"/>
  <c r="F41" i="2"/>
  <c r="E41" i="2"/>
  <c r="D41" i="2"/>
  <c r="C41" i="2"/>
  <c r="L40" i="2"/>
  <c r="J40" i="2"/>
  <c r="I40" i="2"/>
  <c r="H40" i="2"/>
  <c r="G40" i="2"/>
  <c r="F40" i="2"/>
  <c r="E40" i="2"/>
  <c r="D40" i="2"/>
  <c r="C40" i="2"/>
  <c r="L39" i="2"/>
  <c r="J39" i="2"/>
  <c r="I39" i="2"/>
  <c r="H39" i="2"/>
  <c r="G39" i="2"/>
  <c r="F39" i="2"/>
  <c r="E39" i="2"/>
  <c r="D39" i="2"/>
  <c r="C39" i="2"/>
  <c r="L38" i="2"/>
  <c r="J38" i="2"/>
  <c r="I38" i="2"/>
  <c r="H38" i="2"/>
  <c r="G38" i="2"/>
  <c r="F38" i="2"/>
  <c r="E38" i="2"/>
  <c r="D38" i="2"/>
  <c r="C38" i="2"/>
  <c r="L37" i="2"/>
  <c r="J37" i="2"/>
  <c r="I37" i="2"/>
  <c r="H37" i="2"/>
  <c r="G37" i="2"/>
  <c r="F37" i="2"/>
  <c r="E37" i="2"/>
  <c r="D37" i="2"/>
  <c r="C37" i="2"/>
  <c r="L36" i="2"/>
  <c r="J36" i="2"/>
  <c r="I36" i="2"/>
  <c r="H36" i="2"/>
  <c r="G36" i="2"/>
  <c r="F36" i="2"/>
  <c r="E36" i="2"/>
  <c r="D36" i="2"/>
  <c r="C36" i="2"/>
  <c r="L35" i="2"/>
  <c r="J35" i="2"/>
  <c r="I35" i="2"/>
  <c r="H35" i="2"/>
  <c r="G35" i="2"/>
  <c r="F35" i="2"/>
  <c r="E35" i="2"/>
  <c r="D35" i="2"/>
  <c r="C35" i="2"/>
  <c r="L34" i="2"/>
  <c r="J34" i="2"/>
  <c r="I34" i="2"/>
  <c r="H34" i="2"/>
  <c r="G34" i="2"/>
  <c r="F34" i="2"/>
  <c r="E34" i="2"/>
  <c r="D34" i="2"/>
  <c r="C34" i="2"/>
  <c r="L33" i="2"/>
  <c r="J33" i="2"/>
  <c r="I33" i="2"/>
  <c r="H33" i="2"/>
  <c r="G33" i="2"/>
  <c r="F33" i="2"/>
  <c r="E33" i="2"/>
  <c r="D33" i="2"/>
  <c r="C33" i="2"/>
  <c r="L32" i="2"/>
  <c r="J32" i="2"/>
  <c r="I32" i="2"/>
  <c r="H32" i="2"/>
  <c r="G32" i="2"/>
  <c r="F32" i="2"/>
  <c r="E32" i="2"/>
  <c r="D32" i="2"/>
  <c r="C32" i="2"/>
  <c r="L31" i="2"/>
  <c r="J31" i="2"/>
  <c r="I31" i="2"/>
  <c r="H31" i="2"/>
  <c r="G31" i="2"/>
  <c r="F31" i="2"/>
  <c r="E31" i="2"/>
  <c r="D31" i="2"/>
  <c r="C31" i="2"/>
  <c r="L30" i="2"/>
  <c r="J30" i="2"/>
  <c r="I30" i="2"/>
  <c r="H30" i="2"/>
  <c r="G30" i="2"/>
  <c r="F30" i="2"/>
  <c r="E30" i="2"/>
  <c r="D30" i="2"/>
  <c r="C30" i="2"/>
  <c r="L29" i="2"/>
  <c r="J29" i="2"/>
  <c r="I29" i="2"/>
  <c r="H29" i="2"/>
  <c r="G29" i="2"/>
  <c r="F29" i="2"/>
  <c r="E29" i="2"/>
  <c r="D29" i="2"/>
  <c r="C29" i="2"/>
  <c r="L28" i="2"/>
  <c r="J28" i="2"/>
  <c r="I28" i="2"/>
  <c r="H28" i="2"/>
  <c r="G28" i="2"/>
  <c r="F28" i="2"/>
  <c r="E28" i="2"/>
  <c r="D28" i="2"/>
  <c r="C28" i="2"/>
  <c r="L27" i="2"/>
  <c r="J27" i="2"/>
  <c r="I27" i="2"/>
  <c r="H27" i="2"/>
  <c r="G27" i="2"/>
  <c r="F27" i="2"/>
  <c r="E27" i="2"/>
  <c r="D27" i="2"/>
  <c r="C27" i="2"/>
  <c r="L26" i="2"/>
  <c r="J26" i="2"/>
  <c r="I26" i="2"/>
  <c r="H26" i="2"/>
  <c r="G26" i="2"/>
  <c r="F26" i="2"/>
  <c r="E26" i="2"/>
  <c r="D26" i="2"/>
  <c r="C26" i="2"/>
  <c r="L25" i="2"/>
  <c r="J25" i="2"/>
  <c r="I25" i="2"/>
  <c r="H25" i="2"/>
  <c r="G25" i="2"/>
  <c r="F25" i="2"/>
  <c r="E25" i="2"/>
  <c r="D25" i="2"/>
  <c r="C25" i="2"/>
  <c r="L24" i="2"/>
  <c r="J24" i="2"/>
  <c r="I24" i="2"/>
  <c r="H24" i="2"/>
  <c r="G24" i="2"/>
  <c r="F24" i="2"/>
  <c r="E24" i="2"/>
  <c r="D24" i="2"/>
  <c r="C24" i="2"/>
  <c r="L23" i="2"/>
  <c r="J23" i="2"/>
  <c r="I23" i="2"/>
  <c r="H23" i="2"/>
  <c r="G23" i="2"/>
  <c r="F23" i="2"/>
  <c r="E23" i="2"/>
  <c r="D23" i="2"/>
  <c r="C23" i="2"/>
  <c r="L22" i="2"/>
  <c r="J22" i="2"/>
  <c r="I22" i="2"/>
  <c r="H22" i="2"/>
  <c r="G22" i="2"/>
  <c r="F22" i="2"/>
  <c r="E22" i="2"/>
  <c r="D22" i="2"/>
  <c r="C22" i="2"/>
  <c r="L21" i="2"/>
  <c r="J21" i="2"/>
  <c r="I21" i="2"/>
  <c r="H21" i="2"/>
  <c r="G21" i="2"/>
  <c r="F21" i="2"/>
  <c r="E21" i="2"/>
  <c r="D21" i="2"/>
  <c r="C21" i="2"/>
  <c r="L20" i="2"/>
  <c r="J20" i="2"/>
  <c r="I20" i="2"/>
  <c r="H20" i="2"/>
  <c r="G20" i="2"/>
  <c r="F20" i="2"/>
  <c r="E20" i="2"/>
  <c r="D20" i="2"/>
  <c r="C20" i="2"/>
  <c r="L19" i="2"/>
  <c r="J19" i="2"/>
  <c r="I19" i="2"/>
  <c r="H19" i="2"/>
  <c r="G19" i="2"/>
  <c r="F19" i="2"/>
  <c r="E19" i="2"/>
  <c r="D19" i="2"/>
  <c r="C19" i="2"/>
  <c r="L18" i="2"/>
  <c r="J18" i="2"/>
  <c r="I18" i="2"/>
  <c r="H18" i="2"/>
  <c r="G18" i="2"/>
  <c r="F18" i="2"/>
  <c r="E18" i="2"/>
  <c r="D18" i="2"/>
  <c r="C18" i="2"/>
  <c r="L17" i="2"/>
  <c r="J17" i="2"/>
  <c r="I17" i="2"/>
  <c r="H17" i="2"/>
  <c r="G17" i="2"/>
  <c r="F17" i="2"/>
  <c r="E17" i="2"/>
  <c r="D17" i="2"/>
  <c r="C17" i="2"/>
  <c r="L16" i="2"/>
  <c r="J16" i="2"/>
  <c r="I16" i="2"/>
  <c r="H16" i="2"/>
  <c r="G16" i="2"/>
  <c r="F16" i="2"/>
  <c r="E16" i="2"/>
  <c r="D16" i="2"/>
  <c r="C16" i="2"/>
  <c r="L15" i="2"/>
  <c r="J15" i="2"/>
  <c r="I15" i="2"/>
  <c r="H15" i="2"/>
  <c r="G15" i="2"/>
  <c r="F15" i="2"/>
  <c r="E15" i="2"/>
  <c r="D15" i="2"/>
  <c r="C15" i="2"/>
  <c r="L14" i="2"/>
  <c r="J14" i="2"/>
  <c r="I14" i="2"/>
  <c r="H14" i="2"/>
  <c r="G14" i="2"/>
  <c r="F14" i="2"/>
  <c r="E14" i="2"/>
  <c r="D14" i="2"/>
  <c r="C14" i="2"/>
  <c r="L13" i="2"/>
  <c r="J13" i="2"/>
  <c r="I13" i="2"/>
  <c r="H13" i="2"/>
  <c r="G13" i="2"/>
  <c r="F13" i="2"/>
  <c r="E13" i="2"/>
  <c r="D13" i="2"/>
  <c r="C13" i="2"/>
  <c r="L12" i="2"/>
  <c r="J12" i="2"/>
  <c r="I12" i="2"/>
  <c r="H12" i="2"/>
  <c r="F12" i="2"/>
  <c r="E12" i="2"/>
  <c r="D12" i="2"/>
  <c r="C12" i="2"/>
  <c r="L11" i="2"/>
  <c r="J11" i="2"/>
  <c r="I11" i="2"/>
  <c r="H11" i="2"/>
  <c r="G11" i="2"/>
  <c r="F11" i="2"/>
  <c r="E11" i="2"/>
  <c r="D11" i="2"/>
  <c r="C11" i="2"/>
  <c r="L10" i="2"/>
  <c r="J10" i="2"/>
  <c r="I10" i="2"/>
  <c r="H10" i="2"/>
  <c r="G10" i="2"/>
  <c r="F10" i="2"/>
  <c r="E10" i="2"/>
  <c r="D10" i="2"/>
  <c r="C10" i="2"/>
  <c r="L9" i="2"/>
  <c r="J9" i="2"/>
  <c r="I9" i="2"/>
  <c r="H9" i="2"/>
  <c r="G9" i="2"/>
  <c r="F9" i="2"/>
  <c r="E9" i="2"/>
  <c r="D9" i="2"/>
  <c r="C9" i="2"/>
  <c r="L8" i="2"/>
  <c r="J8" i="2"/>
  <c r="I8" i="2"/>
  <c r="H8" i="2"/>
  <c r="G8" i="2"/>
  <c r="F8" i="2"/>
  <c r="E8" i="2"/>
  <c r="D8" i="2"/>
  <c r="C8" i="2"/>
  <c r="L7" i="2"/>
  <c r="J7" i="2"/>
  <c r="I7" i="2"/>
  <c r="H7" i="2"/>
  <c r="G7" i="2"/>
  <c r="F7" i="2"/>
  <c r="E7" i="2"/>
  <c r="D7" i="2"/>
  <c r="C7" i="2"/>
  <c r="L6" i="2"/>
  <c r="J6" i="2"/>
  <c r="I6" i="2"/>
  <c r="H6" i="2"/>
  <c r="G6" i="2"/>
  <c r="F6" i="2"/>
  <c r="E6" i="2"/>
  <c r="D6" i="2"/>
  <c r="C6" i="2"/>
  <c r="L5" i="2"/>
  <c r="J5" i="2"/>
  <c r="I5" i="2"/>
  <c r="H5" i="2"/>
  <c r="G5" i="2"/>
  <c r="F5" i="2"/>
  <c r="E5" i="2"/>
  <c r="D5" i="2"/>
  <c r="C5" i="2"/>
  <c r="L4" i="2"/>
  <c r="J4" i="2"/>
  <c r="I4" i="2"/>
  <c r="H4" i="2"/>
  <c r="G4" i="2"/>
  <c r="F4" i="2"/>
  <c r="E4" i="2"/>
  <c r="D4" i="2"/>
  <c r="C4" i="2"/>
  <c r="L3" i="2"/>
  <c r="J3" i="2"/>
  <c r="I3" i="2"/>
  <c r="H3" i="2"/>
  <c r="G3" i="2"/>
  <c r="F3" i="2"/>
  <c r="E3" i="2"/>
  <c r="D3" i="2"/>
  <c r="C3" i="2"/>
  <c r="L2" i="2"/>
  <c r="J2" i="2"/>
  <c r="I2" i="2"/>
  <c r="H2" i="2"/>
  <c r="G2" i="2"/>
  <c r="F2" i="2"/>
  <c r="E2" i="2"/>
  <c r="D2" i="2"/>
  <c r="C2" i="2"/>
  <c r="O241" i="1"/>
  <c r="K201" i="2" s="1"/>
  <c r="O240" i="1"/>
  <c r="K200" i="2" s="1"/>
  <c r="O239" i="1"/>
  <c r="K199" i="2" s="1"/>
  <c r="O238" i="1"/>
  <c r="K198" i="2" s="1"/>
  <c r="K197" i="2"/>
  <c r="O235" i="1"/>
  <c r="K196" i="2" s="1"/>
  <c r="O234" i="1"/>
  <c r="K195" i="2" s="1"/>
  <c r="O233" i="1"/>
  <c r="K194" i="2" s="1"/>
  <c r="O232" i="1"/>
  <c r="K193" i="2" s="1"/>
  <c r="O231" i="1"/>
  <c r="K192" i="2" s="1"/>
  <c r="O229" i="1"/>
  <c r="K191" i="2" s="1"/>
  <c r="O228" i="1"/>
  <c r="K190" i="2" s="1"/>
  <c r="O227" i="1"/>
  <c r="K189" i="2" s="1"/>
  <c r="O226" i="1"/>
  <c r="K188" i="2" s="1"/>
  <c r="O225" i="1"/>
  <c r="K187" i="2" s="1"/>
  <c r="O223" i="1"/>
  <c r="K186" i="2" s="1"/>
  <c r="O222" i="1"/>
  <c r="K185" i="2" s="1"/>
  <c r="O221" i="1"/>
  <c r="K184" i="2" s="1"/>
  <c r="O220" i="1"/>
  <c r="K183" i="2" s="1"/>
  <c r="O219" i="1"/>
  <c r="K182" i="2" s="1"/>
  <c r="O217" i="1"/>
  <c r="K181" i="2" s="1"/>
  <c r="O216" i="1"/>
  <c r="K180" i="2" s="1"/>
  <c r="O215" i="1"/>
  <c r="K179" i="2" s="1"/>
  <c r="O214" i="1"/>
  <c r="K178" i="2" s="1"/>
  <c r="O213" i="1"/>
  <c r="K177" i="2" s="1"/>
  <c r="O211" i="1"/>
  <c r="K176" i="2" s="1"/>
  <c r="O210" i="1"/>
  <c r="K175" i="2" s="1"/>
  <c r="O209" i="1"/>
  <c r="K174" i="2" s="1"/>
  <c r="O208" i="1"/>
  <c r="K173" i="2" s="1"/>
  <c r="O207" i="1"/>
  <c r="K172" i="2" s="1"/>
  <c r="O205" i="1"/>
  <c r="K171" i="2" s="1"/>
  <c r="O204" i="1"/>
  <c r="K170" i="2" s="1"/>
  <c r="O203" i="1"/>
  <c r="K169" i="2" s="1"/>
  <c r="O202" i="1"/>
  <c r="K168" i="2" s="1"/>
  <c r="O201" i="1"/>
  <c r="K167" i="2" s="1"/>
  <c r="O199" i="1"/>
  <c r="K166" i="2" s="1"/>
  <c r="O198" i="1"/>
  <c r="K165" i="2" s="1"/>
  <c r="O197" i="1"/>
  <c r="K164" i="2" s="1"/>
  <c r="O196" i="1"/>
  <c r="K163" i="2" s="1"/>
  <c r="O195" i="1"/>
  <c r="K162" i="2" s="1"/>
  <c r="O193" i="1"/>
  <c r="K161" i="2" s="1"/>
  <c r="O192" i="1"/>
  <c r="K160" i="2" s="1"/>
  <c r="O191" i="1"/>
  <c r="K159" i="2" s="1"/>
  <c r="O190" i="1"/>
  <c r="K158" i="2" s="1"/>
  <c r="O189" i="1"/>
  <c r="K157" i="2" s="1"/>
  <c r="O187" i="1"/>
  <c r="K156" i="2" s="1"/>
  <c r="O186" i="1"/>
  <c r="K155" i="2" s="1"/>
  <c r="O185" i="1"/>
  <c r="K154" i="2" s="1"/>
  <c r="O184" i="1"/>
  <c r="K153" i="2" s="1"/>
  <c r="O183" i="1"/>
  <c r="K152" i="2" s="1"/>
  <c r="O181" i="1"/>
  <c r="K151" i="2" s="1"/>
  <c r="O180" i="1"/>
  <c r="K150" i="2" s="1"/>
  <c r="O179" i="1"/>
  <c r="K149" i="2" s="1"/>
  <c r="O178" i="1"/>
  <c r="K148" i="2" s="1"/>
  <c r="O177" i="1"/>
  <c r="K147" i="2" s="1"/>
  <c r="O175" i="1"/>
  <c r="K146" i="2" s="1"/>
  <c r="O174" i="1"/>
  <c r="K145" i="2" s="1"/>
  <c r="O173" i="1"/>
  <c r="K144" i="2" s="1"/>
  <c r="O172" i="1"/>
  <c r="K143" i="2" s="1"/>
  <c r="O171" i="1"/>
  <c r="K142" i="2" s="1"/>
  <c r="K141" i="2"/>
  <c r="O168" i="1"/>
  <c r="K140" i="2" s="1"/>
  <c r="O167" i="1"/>
  <c r="K139" i="2" s="1"/>
  <c r="O166" i="1"/>
  <c r="K138" i="2" s="1"/>
  <c r="O165" i="1"/>
  <c r="K137" i="2" s="1"/>
  <c r="O163" i="1"/>
  <c r="K136" i="2" s="1"/>
  <c r="O162" i="1"/>
  <c r="K135" i="2" s="1"/>
  <c r="O161" i="1"/>
  <c r="K134" i="2" s="1"/>
  <c r="O160" i="1"/>
  <c r="K133" i="2" s="1"/>
  <c r="O159" i="1"/>
  <c r="K132" i="2" s="1"/>
  <c r="O157" i="1"/>
  <c r="K131" i="2" s="1"/>
  <c r="O156" i="1"/>
  <c r="K130" i="2" s="1"/>
  <c r="O155" i="1"/>
  <c r="K129" i="2" s="1"/>
  <c r="O154" i="1"/>
  <c r="K128" i="2" s="1"/>
  <c r="O153" i="1"/>
  <c r="K127" i="2" s="1"/>
  <c r="O151" i="1"/>
  <c r="K126" i="2" s="1"/>
  <c r="O150" i="1"/>
  <c r="K125" i="2" s="1"/>
  <c r="O149" i="1"/>
  <c r="K124" i="2" s="1"/>
  <c r="O148" i="1"/>
  <c r="K123" i="2" s="1"/>
  <c r="O147" i="1"/>
  <c r="K122" i="2" s="1"/>
  <c r="O145" i="1"/>
  <c r="K121" i="2" s="1"/>
  <c r="O144" i="1"/>
  <c r="K120" i="2" s="1"/>
  <c r="O143" i="1"/>
  <c r="K119" i="2" s="1"/>
  <c r="O142" i="1"/>
  <c r="K118" i="2" s="1"/>
  <c r="O141" i="1"/>
  <c r="K117" i="2" s="1"/>
  <c r="O139" i="1"/>
  <c r="K116" i="2" s="1"/>
  <c r="O138" i="1"/>
  <c r="K115" i="2" s="1"/>
  <c r="O137" i="1"/>
  <c r="K114" i="2" s="1"/>
  <c r="O136" i="1"/>
  <c r="K113" i="2" s="1"/>
  <c r="O135" i="1"/>
  <c r="K112" i="2" s="1"/>
  <c r="O133" i="1"/>
  <c r="K111" i="2" s="1"/>
  <c r="O132" i="1"/>
  <c r="K110" i="2" s="1"/>
  <c r="O131" i="1"/>
  <c r="K109" i="2" s="1"/>
  <c r="O130" i="1"/>
  <c r="K108" i="2" s="1"/>
  <c r="O129" i="1"/>
  <c r="K107" i="2" s="1"/>
  <c r="O127" i="1"/>
  <c r="K106" i="2" s="1"/>
  <c r="O126" i="1"/>
  <c r="K105" i="2" s="1"/>
  <c r="O125" i="1"/>
  <c r="K104" i="2" s="1"/>
  <c r="O124" i="1"/>
  <c r="K103" i="2" s="1"/>
  <c r="O123" i="1"/>
  <c r="K102" i="2" s="1"/>
  <c r="O121" i="1"/>
  <c r="K101" i="2" s="1"/>
  <c r="O120" i="1"/>
  <c r="K100" i="2" s="1"/>
  <c r="O119" i="1"/>
  <c r="K99" i="2" s="1"/>
  <c r="O118" i="1"/>
  <c r="K98" i="2" s="1"/>
  <c r="O117" i="1"/>
  <c r="K97" i="2" s="1"/>
  <c r="O115" i="1"/>
  <c r="K96" i="2" s="1"/>
  <c r="O114" i="1"/>
  <c r="K95" i="2" s="1"/>
  <c r="O113" i="1"/>
  <c r="K94" i="2" s="1"/>
  <c r="O112" i="1"/>
  <c r="K93" i="2" s="1"/>
  <c r="O111" i="1"/>
  <c r="K92" i="2" s="1"/>
  <c r="O109" i="1"/>
  <c r="K91" i="2" s="1"/>
  <c r="O108" i="1"/>
  <c r="K90" i="2" s="1"/>
  <c r="O107" i="1"/>
  <c r="K89" i="2" s="1"/>
  <c r="O106" i="1"/>
  <c r="K88" i="2" s="1"/>
  <c r="O105" i="1"/>
  <c r="K87" i="2" s="1"/>
  <c r="O103" i="1"/>
  <c r="K86" i="2" s="1"/>
  <c r="O102" i="1"/>
  <c r="K85" i="2" s="1"/>
  <c r="O101" i="1"/>
  <c r="K84" i="2" s="1"/>
  <c r="O100" i="1"/>
  <c r="K83" i="2" s="1"/>
  <c r="O99" i="1"/>
  <c r="K82" i="2" s="1"/>
  <c r="O97" i="1"/>
  <c r="K81" i="2" s="1"/>
  <c r="O96" i="1"/>
  <c r="K80" i="2" s="1"/>
  <c r="O95" i="1"/>
  <c r="K79" i="2" s="1"/>
  <c r="O94" i="1"/>
  <c r="K78" i="2" s="1"/>
  <c r="O93" i="1"/>
  <c r="K77" i="2" s="1"/>
  <c r="O91" i="1"/>
  <c r="K76" i="2" s="1"/>
  <c r="O90" i="1"/>
  <c r="K75" i="2" s="1"/>
  <c r="O89" i="1"/>
  <c r="K74" i="2" s="1"/>
  <c r="O88" i="1"/>
  <c r="K73" i="2" s="1"/>
  <c r="O87" i="1"/>
  <c r="K72" i="2" s="1"/>
  <c r="O85" i="1"/>
  <c r="K71" i="2" s="1"/>
  <c r="O84" i="1"/>
  <c r="K70" i="2" s="1"/>
  <c r="O83" i="1"/>
  <c r="K69" i="2" s="1"/>
  <c r="O82" i="1"/>
  <c r="K68" i="2" s="1"/>
  <c r="O81" i="1"/>
  <c r="K67" i="2" s="1"/>
  <c r="O79" i="1"/>
  <c r="K66" i="2" s="1"/>
  <c r="O78" i="1"/>
  <c r="K65" i="2" s="1"/>
  <c r="O77" i="1"/>
  <c r="K64" i="2" s="1"/>
  <c r="O76" i="1"/>
  <c r="K63" i="2" s="1"/>
  <c r="O75" i="1"/>
  <c r="K62" i="2" s="1"/>
  <c r="O73" i="1"/>
  <c r="K61" i="2" s="1"/>
  <c r="O72" i="1"/>
  <c r="K60" i="2" s="1"/>
  <c r="O71" i="1"/>
  <c r="K59" i="2" s="1"/>
  <c r="O70" i="1"/>
  <c r="K58" i="2" s="1"/>
  <c r="O69" i="1"/>
  <c r="K57" i="2" s="1"/>
  <c r="O67" i="1"/>
  <c r="K56" i="2" s="1"/>
  <c r="O66" i="1"/>
  <c r="K55" i="2" s="1"/>
  <c r="O65" i="1"/>
  <c r="K54" i="2" s="1"/>
  <c r="O64" i="1"/>
  <c r="K53" i="2" s="1"/>
  <c r="O63" i="1"/>
  <c r="K52" i="2" s="1"/>
  <c r="O61" i="1"/>
  <c r="K51" i="2" s="1"/>
  <c r="O60" i="1"/>
  <c r="K50" i="2" s="1"/>
  <c r="O59" i="1"/>
  <c r="K49" i="2" s="1"/>
  <c r="O58" i="1"/>
  <c r="K48" i="2" s="1"/>
  <c r="O57" i="1"/>
  <c r="K47" i="2" s="1"/>
  <c r="O55" i="1"/>
  <c r="K46" i="2" s="1"/>
  <c r="O54" i="1"/>
  <c r="K45" i="2" s="1"/>
  <c r="O53" i="1"/>
  <c r="K44" i="2" s="1"/>
  <c r="O52" i="1"/>
  <c r="K43" i="2" s="1"/>
  <c r="O51" i="1"/>
  <c r="K42" i="2" s="1"/>
  <c r="O49" i="1"/>
  <c r="K41" i="2" s="1"/>
  <c r="O48" i="1"/>
  <c r="K40" i="2" s="1"/>
  <c r="O47" i="1"/>
  <c r="K39" i="2" s="1"/>
  <c r="O46" i="1"/>
  <c r="K38" i="2" s="1"/>
  <c r="O45" i="1"/>
  <c r="K37" i="2" s="1"/>
  <c r="O43" i="1"/>
  <c r="K36" i="2" s="1"/>
  <c r="O42" i="1"/>
  <c r="K35" i="2" s="1"/>
  <c r="O41" i="1"/>
  <c r="K34" i="2" s="1"/>
  <c r="O40" i="1"/>
  <c r="K33" i="2" s="1"/>
  <c r="O39" i="1"/>
  <c r="K32" i="2" s="1"/>
  <c r="O37" i="1"/>
  <c r="K31" i="2" s="1"/>
  <c r="O36" i="1"/>
  <c r="K30" i="2" s="1"/>
  <c r="O35" i="1"/>
  <c r="K29" i="2" s="1"/>
  <c r="O34" i="1"/>
  <c r="K28" i="2" s="1"/>
  <c r="O33" i="1"/>
  <c r="K27" i="2" s="1"/>
  <c r="O31" i="1"/>
  <c r="K26" i="2" s="1"/>
  <c r="O30" i="1"/>
  <c r="K25" i="2" s="1"/>
  <c r="O29" i="1"/>
  <c r="K24" i="2" s="1"/>
  <c r="O28" i="1"/>
  <c r="K23" i="2" s="1"/>
  <c r="O27" i="1"/>
  <c r="K22" i="2" s="1"/>
  <c r="O25" i="1"/>
  <c r="K21" i="2" s="1"/>
  <c r="O24" i="1"/>
  <c r="K20" i="2" s="1"/>
  <c r="O23" i="1"/>
  <c r="K19" i="2" s="1"/>
  <c r="O22" i="1"/>
  <c r="K18" i="2" s="1"/>
  <c r="O21" i="1"/>
  <c r="K17" i="2" s="1"/>
  <c r="O19" i="1"/>
  <c r="K16" i="2" s="1"/>
  <c r="O18" i="1"/>
  <c r="K15" i="2" s="1"/>
  <c r="O17" i="1"/>
  <c r="K14" i="2" s="1"/>
  <c r="O16" i="1"/>
  <c r="K13" i="2" s="1"/>
  <c r="O15" i="1"/>
  <c r="K12" i="2" s="1"/>
  <c r="C15" i="1"/>
  <c r="G12" i="2" s="1"/>
  <c r="O13" i="1"/>
  <c r="K11" i="2" s="1"/>
  <c r="O12" i="1"/>
  <c r="K10" i="2" s="1"/>
  <c r="O11" i="1"/>
  <c r="K9" i="2" s="1"/>
  <c r="O10" i="1"/>
  <c r="K8" i="2" s="1"/>
  <c r="O9" i="1"/>
  <c r="K7" i="2" s="1"/>
  <c r="O7" i="1"/>
  <c r="K6" i="2" s="1"/>
  <c r="O6" i="1"/>
  <c r="K5" i="2" s="1"/>
  <c r="O5" i="1"/>
  <c r="K4" i="2" s="1"/>
  <c r="O4" i="1"/>
  <c r="K3" i="2" s="1"/>
  <c r="O3" i="1"/>
  <c r="K2" i="2" s="1"/>
</calcChain>
</file>

<file path=xl/sharedStrings.xml><?xml version="1.0" encoding="utf-8"?>
<sst xmlns="http://schemas.openxmlformats.org/spreadsheetml/2006/main" count="268" uniqueCount="65">
  <si>
    <t>Emiten</t>
  </si>
  <si>
    <t>Tahun</t>
  </si>
  <si>
    <t>Current Assets</t>
  </si>
  <si>
    <t>Fixed Assets (Non CA)</t>
  </si>
  <si>
    <t>Total Assets</t>
  </si>
  <si>
    <t>Current Liabilities</t>
  </si>
  <si>
    <t>Total Liabilities</t>
  </si>
  <si>
    <t>Total Equity</t>
  </si>
  <si>
    <t>Sales Revenue</t>
  </si>
  <si>
    <t>EBIT (Operating Profit)</t>
  </si>
  <si>
    <t>Taxation (Tax Expenses)</t>
  </si>
  <si>
    <t>Net Income (Profit For the Year)</t>
  </si>
  <si>
    <t>Depreciation (Depreciation Expense)</t>
  </si>
  <si>
    <t>Year Listed</t>
  </si>
  <si>
    <t>AGE</t>
  </si>
  <si>
    <t>APLN</t>
  </si>
  <si>
    <t>ASRI</t>
  </si>
  <si>
    <t>BAPA</t>
  </si>
  <si>
    <t>BCIP</t>
  </si>
  <si>
    <t>BEST</t>
  </si>
  <si>
    <t>BIPP</t>
  </si>
  <si>
    <t>BKDP</t>
  </si>
  <si>
    <t>BKSL</t>
  </si>
  <si>
    <t>BSDE</t>
  </si>
  <si>
    <t>CTRA</t>
  </si>
  <si>
    <t>DART</t>
  </si>
  <si>
    <t>DILD</t>
  </si>
  <si>
    <t>DUTI</t>
  </si>
  <si>
    <t>ELTY</t>
  </si>
  <si>
    <t>EMDE</t>
  </si>
  <si>
    <t>FMII</t>
  </si>
  <si>
    <t>GMTD</t>
  </si>
  <si>
    <t>GPRA</t>
  </si>
  <si>
    <t>INPP</t>
  </si>
  <si>
    <t>JRPT</t>
  </si>
  <si>
    <t>KIJA</t>
  </si>
  <si>
    <t>LPCK</t>
  </si>
  <si>
    <t>LPKR</t>
  </si>
  <si>
    <t>MDLN</t>
  </si>
  <si>
    <t>MKPI</t>
  </si>
  <si>
    <t>MMLP</t>
  </si>
  <si>
    <t>MTLA</t>
  </si>
  <si>
    <t>MTSM</t>
  </si>
  <si>
    <t>OMRE</t>
  </si>
  <si>
    <t>PLIN</t>
  </si>
  <si>
    <t>PPRO</t>
  </si>
  <si>
    <t>PUDP</t>
  </si>
  <si>
    <t>PWON</t>
  </si>
  <si>
    <t>RBMS</t>
  </si>
  <si>
    <t>RDTX</t>
  </si>
  <si>
    <t>SMDM</t>
  </si>
  <si>
    <t>SMRA</t>
  </si>
  <si>
    <t>TARA</t>
  </si>
  <si>
    <t>CSIS</t>
  </si>
  <si>
    <t>RISE</t>
  </si>
  <si>
    <t>POLI</t>
  </si>
  <si>
    <t>DER</t>
  </si>
  <si>
    <t>TDR</t>
  </si>
  <si>
    <t>ROE</t>
  </si>
  <si>
    <t>TAN</t>
  </si>
  <si>
    <t>LIQ</t>
  </si>
  <si>
    <t>GRW</t>
  </si>
  <si>
    <t>SIZ</t>
  </si>
  <si>
    <t>TAX</t>
  </si>
  <si>
    <t>NDTS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</si>
</sst>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Rp-421]* #,##0.00_-;_-[$Rp-421]* \-#,##0.00_-;_-[$Rp-421]* &quot;-&quot;??_-;_-@"/>
    <numFmt numFmtId="165" formatCode="_-[$Rp-421]* #,##0_-;_-[$Rp-421]* \-#,##0_-;_-[$Rp-421]* &quot;-&quot;??_-;_-@"/>
    <numFmt numFmtId="166" formatCode="[$Rp-421]#,##0"/>
    <numFmt numFmtId="167" formatCode="[$Rp]#,##0"/>
    <numFmt numFmtId="168" formatCode="#,##0.0000"/>
    <numFmt numFmtId="169" formatCode="#,##0.000000"/>
  </numFmts>
  <fonts count="8" x14ac:knownFonts="1">
    <font>
      <sz val="10"/>
      <color rgb="FF000000"/>
      <name val="Arial"/>
      <scheme val="minor"/>
    </font>
    <font>
      <sz val="10"/>
      <color rgb="FFFFFFFF"/>
      <name val="Roboto"/>
    </font>
    <font>
      <sz val="10"/>
      <color rgb="FF000000"/>
      <name val="Roboto"/>
    </font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theme="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AFAFB"/>
        <bgColor rgb="FFFAFAFB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D9DCD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48892"/>
      </bottom>
      <diagonal/>
    </border>
    <border>
      <left/>
      <right/>
      <top/>
      <bottom style="thin">
        <color rgb="FFECEDE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48892"/>
      </bottom>
      <diagonal/>
    </border>
    <border>
      <left/>
      <right style="thin">
        <color rgb="FFF6F8F9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35685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848892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167" fontId="2" fillId="2" borderId="0" xfId="0" applyNumberFormat="1" applyFont="1" applyFill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167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165" fontId="2" fillId="0" borderId="4" xfId="0" applyNumberFormat="1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166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167" fontId="2" fillId="3" borderId="8" xfId="0" applyNumberFormat="1" applyFont="1" applyFill="1" applyBorder="1" applyAlignment="1">
      <alignment vertical="center"/>
    </xf>
    <xf numFmtId="167" fontId="2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65" fontId="2" fillId="3" borderId="8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3" borderId="5" xfId="0" applyNumberFormat="1" applyFont="1" applyFill="1" applyBorder="1" applyAlignment="1">
      <alignment vertical="center"/>
    </xf>
    <xf numFmtId="167" fontId="2" fillId="4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/>
    </xf>
    <xf numFmtId="167" fontId="2" fillId="4" borderId="0" xfId="0" applyNumberFormat="1" applyFont="1" applyFill="1" applyAlignment="1">
      <alignment vertical="center"/>
    </xf>
    <xf numFmtId="0" fontId="2" fillId="4" borderId="5" xfId="0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6" fontId="2" fillId="0" borderId="12" xfId="0" applyNumberFormat="1" applyFont="1" applyBorder="1" applyAlignment="1">
      <alignment vertical="center"/>
    </xf>
    <xf numFmtId="167" fontId="2" fillId="4" borderId="11" xfId="0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5" fontId="2" fillId="4" borderId="5" xfId="0" applyNumberFormat="1" applyFont="1" applyFill="1" applyBorder="1" applyAlignment="1">
      <alignment vertical="center"/>
    </xf>
    <xf numFmtId="166" fontId="2" fillId="3" borderId="5" xfId="0" applyNumberFormat="1" applyFont="1" applyFill="1" applyBorder="1" applyAlignment="1">
      <alignment vertical="center"/>
    </xf>
    <xf numFmtId="165" fontId="2" fillId="4" borderId="0" xfId="0" applyNumberFormat="1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7" fontId="2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65" fontId="2" fillId="4" borderId="11" xfId="0" applyNumberFormat="1" applyFont="1" applyFill="1" applyBorder="1" applyAlignment="1">
      <alignment vertical="center"/>
    </xf>
    <xf numFmtId="166" fontId="2" fillId="3" borderId="12" xfId="0" applyNumberFormat="1" applyFont="1" applyFill="1" applyBorder="1" applyAlignment="1">
      <alignment vertical="center"/>
    </xf>
    <xf numFmtId="167" fontId="2" fillId="3" borderId="5" xfId="0" applyNumberFormat="1" applyFont="1" applyFill="1" applyBorder="1" applyAlignment="1">
      <alignment vertical="center"/>
    </xf>
    <xf numFmtId="165" fontId="2" fillId="4" borderId="8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65" fontId="2" fillId="4" borderId="2" xfId="0" applyNumberFormat="1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vertical="center"/>
    </xf>
    <xf numFmtId="167" fontId="2" fillId="4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67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167" fontId="2" fillId="0" borderId="14" xfId="0" applyNumberFormat="1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67" fontId="2" fillId="0" borderId="18" xfId="0" applyNumberFormat="1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167" fontId="2" fillId="0" borderId="20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166" fontId="2" fillId="0" borderId="11" xfId="0" applyNumberFormat="1" applyFont="1" applyBorder="1" applyAlignment="1">
      <alignment vertical="center"/>
    </xf>
    <xf numFmtId="167" fontId="2" fillId="0" borderId="11" xfId="0" applyNumberFormat="1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0" borderId="6" xfId="0" applyFont="1" applyBorder="1" applyAlignment="1">
      <alignment wrapText="1"/>
    </xf>
    <xf numFmtId="165" fontId="2" fillId="0" borderId="0" xfId="0" applyNumberFormat="1" applyFont="1"/>
    <xf numFmtId="167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0" fontId="4" fillId="3" borderId="23" xfId="0" applyFont="1" applyFill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5" fontId="2" fillId="0" borderId="24" xfId="0" applyNumberFormat="1" applyFont="1" applyBorder="1" applyAlignment="1">
      <alignment horizontal="right"/>
    </xf>
    <xf numFmtId="167" fontId="2" fillId="0" borderId="24" xfId="0" applyNumberFormat="1" applyFont="1" applyBorder="1"/>
    <xf numFmtId="167" fontId="2" fillId="0" borderId="24" xfId="0" applyNumberFormat="1" applyFont="1" applyBorder="1" applyAlignment="1">
      <alignment horizontal="right"/>
    </xf>
    <xf numFmtId="166" fontId="2" fillId="0" borderId="24" xfId="0" applyNumberFormat="1" applyFont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11" xfId="0" applyNumberFormat="1" applyFont="1" applyBorder="1"/>
    <xf numFmtId="167" fontId="2" fillId="0" borderId="12" xfId="0" applyNumberFormat="1" applyFont="1" applyBorder="1" applyAlignment="1">
      <alignment horizontal="right"/>
    </xf>
    <xf numFmtId="167" fontId="2" fillId="0" borderId="11" xfId="0" applyNumberFormat="1" applyFont="1" applyBorder="1" applyAlignment="1">
      <alignment horizontal="right"/>
    </xf>
    <xf numFmtId="167" fontId="2" fillId="0" borderId="5" xfId="0" applyNumberFormat="1" applyFont="1" applyBorder="1" applyAlignment="1">
      <alignment horizontal="right"/>
    </xf>
    <xf numFmtId="167" fontId="2" fillId="0" borderId="5" xfId="0" applyNumberFormat="1" applyFont="1" applyBorder="1"/>
    <xf numFmtId="167" fontId="2" fillId="0" borderId="3" xfId="0" applyNumberFormat="1" applyFont="1" applyBorder="1"/>
    <xf numFmtId="167" fontId="2" fillId="0" borderId="4" xfId="0" applyNumberFormat="1" applyFont="1" applyBorder="1"/>
    <xf numFmtId="0" fontId="2" fillId="0" borderId="2" xfId="0" applyFont="1" applyBorder="1"/>
    <xf numFmtId="167" fontId="2" fillId="0" borderId="6" xfId="0" applyNumberFormat="1" applyFont="1" applyBorder="1"/>
    <xf numFmtId="167" fontId="2" fillId="0" borderId="2" xfId="0" applyNumberFormat="1" applyFont="1" applyBorder="1"/>
    <xf numFmtId="0" fontId="2" fillId="0" borderId="7" xfId="0" applyFont="1" applyBorder="1" applyAlignment="1">
      <alignment wrapText="1"/>
    </xf>
    <xf numFmtId="167" fontId="2" fillId="0" borderId="8" xfId="0" applyNumberFormat="1" applyFont="1" applyBorder="1" applyAlignment="1">
      <alignment horizontal="right"/>
    </xf>
    <xf numFmtId="167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0" xfId="0" applyFont="1" applyAlignment="1">
      <alignment wrapText="1"/>
    </xf>
    <xf numFmtId="167" fontId="3" fillId="0" borderId="0" xfId="0" applyNumberFormat="1" applyFont="1"/>
    <xf numFmtId="0" fontId="3" fillId="0" borderId="0" xfId="0" applyFont="1"/>
    <xf numFmtId="0" fontId="5" fillId="0" borderId="0" xfId="0" applyFont="1" applyAlignment="1">
      <alignment wrapText="1"/>
    </xf>
    <xf numFmtId="167" fontId="5" fillId="0" borderId="0" xfId="0" applyNumberFormat="1" applyFont="1"/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2" fontId="5" fillId="0" borderId="0" xfId="0" applyNumberFormat="1" applyFont="1"/>
    <xf numFmtId="0" fontId="5" fillId="0" borderId="10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2" fillId="0" borderId="4" xfId="0" applyNumberFormat="1" applyFont="1" applyBorder="1" applyAlignment="1">
      <alignment vertical="center"/>
    </xf>
    <xf numFmtId="169" fontId="2" fillId="3" borderId="5" xfId="0" applyNumberFormat="1" applyFont="1" applyFill="1" applyBorder="1" applyAlignment="1">
      <alignment vertical="center"/>
    </xf>
    <xf numFmtId="169" fontId="2" fillId="4" borderId="5" xfId="0" applyNumberFormat="1" applyFont="1" applyFill="1" applyBorder="1" applyAlignment="1">
      <alignment vertical="center"/>
    </xf>
    <xf numFmtId="169" fontId="2" fillId="4" borderId="0" xfId="0" applyNumberFormat="1" applyFont="1" applyFill="1" applyAlignment="1">
      <alignment vertical="center"/>
    </xf>
    <xf numFmtId="0" fontId="2" fillId="0" borderId="25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169" fontId="2" fillId="0" borderId="20" xfId="0" applyNumberFormat="1" applyFont="1" applyBorder="1" applyAlignment="1">
      <alignment vertical="center"/>
    </xf>
    <xf numFmtId="169" fontId="2" fillId="0" borderId="0" xfId="0" applyNumberFormat="1" applyFont="1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169" fontId="2" fillId="0" borderId="5" xfId="0" applyNumberFormat="1" applyFont="1" applyBorder="1"/>
    <xf numFmtId="169" fontId="5" fillId="0" borderId="0" xfId="0" applyNumberFormat="1" applyFont="1"/>
    <xf numFmtId="167" fontId="5" fillId="0" borderId="28" xfId="0" applyNumberFormat="1" applyFont="1" applyBorder="1"/>
    <xf numFmtId="169" fontId="2" fillId="0" borderId="29" xfId="0" applyNumberFormat="1" applyFont="1" applyBorder="1"/>
    <xf numFmtId="169" fontId="2" fillId="0" borderId="28" xfId="0" applyNumberFormat="1" applyFont="1" applyBorder="1"/>
    <xf numFmtId="0" fontId="5" fillId="0" borderId="0" xfId="0" applyFont="1" applyAlignment="1">
      <alignment horizontal="center" vertical="center"/>
    </xf>
    <xf numFmtId="168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5" fillId="0" borderId="30" xfId="0" applyFont="1" applyBorder="1" applyAlignment="1">
      <alignment wrapText="1"/>
    </xf>
    <xf numFmtId="0" fontId="2" fillId="0" borderId="30" xfId="0" applyFont="1" applyBorder="1" applyAlignment="1">
      <alignment horizontal="center" vertical="center"/>
    </xf>
    <xf numFmtId="167" fontId="5" fillId="0" borderId="30" xfId="0" applyNumberFormat="1" applyFont="1" applyBorder="1"/>
    <xf numFmtId="0" fontId="5" fillId="0" borderId="30" xfId="0" applyFont="1" applyBorder="1"/>
    <xf numFmtId="0" fontId="4" fillId="3" borderId="31" xfId="0" applyFont="1" applyFill="1" applyBorder="1" applyAlignment="1">
      <alignment horizontal="right"/>
    </xf>
    <xf numFmtId="0" fontId="4" fillId="3" borderId="32" xfId="0" applyFont="1" applyFill="1" applyBorder="1" applyAlignment="1">
      <alignment horizontal="right"/>
    </xf>
    <xf numFmtId="0" fontId="4" fillId="3" borderId="34" xfId="0" applyFont="1" applyFill="1" applyBorder="1" applyAlignment="1">
      <alignment horizontal="right"/>
    </xf>
    <xf numFmtId="165" fontId="2" fillId="5" borderId="0" xfId="0" applyNumberFormat="1" applyFont="1" applyFill="1" applyAlignment="1">
      <alignment vertical="center"/>
    </xf>
    <xf numFmtId="166" fontId="2" fillId="5" borderId="0" xfId="0" applyNumberFormat="1" applyFont="1" applyFill="1" applyAlignment="1">
      <alignment vertical="center"/>
    </xf>
    <xf numFmtId="167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27" xfId="0" applyFont="1" applyFill="1" applyBorder="1" applyAlignment="1">
      <alignment vertical="center"/>
    </xf>
    <xf numFmtId="169" fontId="2" fillId="0" borderId="33" xfId="0" applyNumberFormat="1" applyFont="1" applyBorder="1"/>
    <xf numFmtId="169" fontId="2" fillId="0" borderId="35" xfId="0" applyNumberFormat="1" applyFont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10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9">
    <tableStyle name="Calculation-style" pivot="0" count="4" xr9:uid="{00000000-0011-0000-FFFF-FFFF00000000}">
      <tableStyleElement type="wholeTable" size="0" dxfId="61"/>
      <tableStyleElement type="headerRow" dxfId="60"/>
      <tableStyleElement type="firstRowStripe" dxfId="59"/>
      <tableStyleElement type="secondRowStripe" dxfId="58"/>
    </tableStyle>
    <tableStyle name="Calculation-style 2" pivot="0" count="2" xr9:uid="{00000000-0011-0000-FFFF-FFFF01000000}">
      <tableStyleElement type="firstRowStripe" dxfId="57"/>
      <tableStyleElement type="secondRowStripe" dxfId="56"/>
    </tableStyle>
    <tableStyle name="Calculation-style 3" pivot="0" count="2" xr9:uid="{00000000-0011-0000-FFFF-FFFF02000000}">
      <tableStyleElement type="firstRowStripe" dxfId="55"/>
      <tableStyleElement type="secondRowStripe" dxfId="54"/>
    </tableStyle>
    <tableStyle name="Calculation-style 4" pivot="0" count="2" xr9:uid="{00000000-0011-0000-FFFF-FFFF03000000}">
      <tableStyleElement type="firstRowStripe" dxfId="53"/>
      <tableStyleElement type="secondRowStripe" dxfId="52"/>
    </tableStyle>
    <tableStyle name="Calculation-style 5" pivot="0" count="2" xr9:uid="{00000000-0011-0000-FFFF-FFFF04000000}">
      <tableStyleElement type="firstRowStripe" dxfId="51"/>
      <tableStyleElement type="secondRowStripe" dxfId="50"/>
    </tableStyle>
    <tableStyle name="Calculation-style 6" pivot="0" count="2" xr9:uid="{00000000-0011-0000-FFFF-FFFF05000000}">
      <tableStyleElement type="firstRowStripe" dxfId="49"/>
      <tableStyleElement type="secondRowStripe" dxfId="48"/>
    </tableStyle>
    <tableStyle name="Calculation-style 7" pivot="0" count="2" xr9:uid="{00000000-0011-0000-FFFF-FFFF06000000}">
      <tableStyleElement type="firstRowStripe" dxfId="47"/>
      <tableStyleElement type="secondRowStripe" dxfId="46"/>
    </tableStyle>
    <tableStyle name="Calculation-style 8" pivot="0" count="2" xr9:uid="{00000000-0011-0000-FFFF-FFFF07000000}">
      <tableStyleElement type="firstRowStripe" dxfId="45"/>
      <tableStyleElement type="secondRowStripe" dxfId="44"/>
    </tableStyle>
    <tableStyle name="Calculation-style 9" pivot="0" count="2" xr9:uid="{00000000-0011-0000-FFFF-FFFF08000000}">
      <tableStyleElement type="firstRowStripe" dxfId="43"/>
      <tableStyleElement type="secondRowStripe" dxfId="42"/>
    </tableStyle>
    <tableStyle name="Calculation-style 10" pivot="0" count="2" xr9:uid="{00000000-0011-0000-FFFF-FFFF09000000}">
      <tableStyleElement type="firstRowStripe" dxfId="41"/>
      <tableStyleElement type="secondRowStripe" dxfId="40"/>
    </tableStyle>
    <tableStyle name="Calculation-style 11" pivot="0" count="2" xr9:uid="{00000000-0011-0000-FFFF-FFFF0A000000}">
      <tableStyleElement type="firstRowStripe" dxfId="39"/>
      <tableStyleElement type="secondRowStripe" dxfId="38"/>
    </tableStyle>
    <tableStyle name="Calculation-style 12" pivot="0" count="2" xr9:uid="{00000000-0011-0000-FFFF-FFFF0B000000}">
      <tableStyleElement type="firstRowStripe" dxfId="37"/>
      <tableStyleElement type="secondRowStripe" dxfId="36"/>
    </tableStyle>
    <tableStyle name="Calculation-style 13" pivot="0" count="2" xr9:uid="{00000000-0011-0000-FFFF-FFFF0C000000}">
      <tableStyleElement type="firstRowStripe" dxfId="35"/>
      <tableStyleElement type="secondRowStripe" dxfId="34"/>
    </tableStyle>
    <tableStyle name="Calculation-style 14" pivot="0" count="2" xr9:uid="{00000000-0011-0000-FFFF-FFFF0D000000}">
      <tableStyleElement type="firstRowStripe" dxfId="33"/>
      <tableStyleElement type="secondRowStripe" dxfId="32"/>
    </tableStyle>
    <tableStyle name="Calculation-style 15" pivot="0" count="2" xr9:uid="{00000000-0011-0000-FFFF-FFFF0E000000}">
      <tableStyleElement type="firstRowStripe" dxfId="31"/>
      <tableStyleElement type="secondRowStripe" dxfId="30"/>
    </tableStyle>
    <tableStyle name="Calculation-style 16" pivot="0" count="2" xr9:uid="{00000000-0011-0000-FFFF-FFFF0F000000}">
      <tableStyleElement type="firstRowStripe" dxfId="29"/>
      <tableStyleElement type="secondRowStripe" dxfId="28"/>
    </tableStyle>
    <tableStyle name="Calculation-style 17" pivot="0" count="2" xr9:uid="{00000000-0011-0000-FFFF-FFFF10000000}">
      <tableStyleElement type="firstRowStripe" dxfId="27"/>
      <tableStyleElement type="secondRowStripe" dxfId="26"/>
    </tableStyle>
    <tableStyle name="Calculation-style 18" pivot="0" count="2" xr9:uid="{00000000-0011-0000-FFFF-FFFF11000000}">
      <tableStyleElement type="firstRowStripe" dxfId="25"/>
      <tableStyleElement type="secondRowStripe" dxfId="24"/>
    </tableStyle>
    <tableStyle name="Calculation-style 19" pivot="0" count="2" xr9:uid="{00000000-0011-0000-FFFF-FFFF12000000}">
      <tableStyleElement type="firstRowStripe" dxfId="23"/>
      <tableStyleElement type="secondRowStripe" dxfId="22"/>
    </tableStyle>
    <tableStyle name="Calculation-style 20" pivot="0" count="2" xr9:uid="{00000000-0011-0000-FFFF-FFFF13000000}">
      <tableStyleElement type="firstRowStripe" dxfId="21"/>
      <tableStyleElement type="secondRowStripe" dxfId="20"/>
    </tableStyle>
    <tableStyle name="Calculation-style 21" pivot="0" count="2" xr9:uid="{00000000-0011-0000-FFFF-FFFF14000000}">
      <tableStyleElement type="firstRowStripe" dxfId="19"/>
      <tableStyleElement type="secondRowStripe" dxfId="18"/>
    </tableStyle>
    <tableStyle name="Calculation-style 22" pivot="0" count="2" xr9:uid="{00000000-0011-0000-FFFF-FFFF15000000}">
      <tableStyleElement type="firstRowStripe" dxfId="17"/>
      <tableStyleElement type="secondRowStripe" dxfId="16"/>
    </tableStyle>
    <tableStyle name="Calculation-style 23" pivot="0" count="2" xr9:uid="{00000000-0011-0000-FFFF-FFFF16000000}">
      <tableStyleElement type="firstRowStripe" dxfId="15"/>
      <tableStyleElement type="secondRowStripe" dxfId="14"/>
    </tableStyle>
    <tableStyle name="Calculation-style 24" pivot="0" count="2" xr9:uid="{00000000-0011-0000-FFFF-FFFF17000000}">
      <tableStyleElement type="firstRowStripe" dxfId="13"/>
      <tableStyleElement type="secondRowStripe" dxfId="12"/>
    </tableStyle>
    <tableStyle name="Calculation-style 25" pivot="0" count="2" xr9:uid="{00000000-0011-0000-FFFF-FFFF18000000}">
      <tableStyleElement type="firstRowStripe" dxfId="11"/>
      <tableStyleElement type="secondRowStripe" dxfId="10"/>
    </tableStyle>
    <tableStyle name="Calculation-style 26" pivot="0" count="2" xr9:uid="{00000000-0011-0000-FFFF-FFFF19000000}">
      <tableStyleElement type="firstRowStripe" dxfId="9"/>
      <tableStyleElement type="secondRowStripe" dxfId="8"/>
    </tableStyle>
    <tableStyle name="Calculation-style 27" pivot="0" count="2" xr9:uid="{00000000-0011-0000-FFFF-FFFF1A000000}">
      <tableStyleElement type="firstRowStripe" dxfId="7"/>
      <tableStyleElement type="secondRowStripe" dxfId="6"/>
    </tableStyle>
    <tableStyle name="Calculation-style 28" pivot="0" count="2" xr9:uid="{00000000-0011-0000-FFFF-FFFF1B000000}">
      <tableStyleElement type="firstRowStripe" dxfId="5"/>
      <tableStyleElement type="secondRowStripe" dxfId="4"/>
    </tableStyle>
    <tableStyle name="Extract-style" pivot="0" count="4" xr9:uid="{00000000-0011-0000-FFFF-FFFF1C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94">
  <tableColumns count="15">
    <tableColumn id="1" xr3:uid="{00000000-0010-0000-0000-000001000000}" name="Emiten"/>
    <tableColumn id="2" xr3:uid="{00000000-0010-0000-0000-000002000000}" name="Tahun"/>
    <tableColumn id="3" xr3:uid="{00000000-0010-0000-0000-000003000000}" name="Current Assets"/>
    <tableColumn id="4" xr3:uid="{00000000-0010-0000-0000-000004000000}" name="Fixed Assets (Non CA)"/>
    <tableColumn id="5" xr3:uid="{00000000-0010-0000-0000-000005000000}" name="Total Assets"/>
    <tableColumn id="6" xr3:uid="{00000000-0010-0000-0000-000006000000}" name="Current Liabilities"/>
    <tableColumn id="7" xr3:uid="{00000000-0010-0000-0000-000007000000}" name="Total Liabilities"/>
    <tableColumn id="8" xr3:uid="{00000000-0010-0000-0000-000008000000}" name="Total Equity"/>
    <tableColumn id="9" xr3:uid="{00000000-0010-0000-0000-000009000000}" name="Sales Revenue"/>
    <tableColumn id="10" xr3:uid="{00000000-0010-0000-0000-00000A000000}" name="EBIT (Operating Profit)"/>
    <tableColumn id="11" xr3:uid="{00000000-0010-0000-0000-00000B000000}" name="Taxation (Tax Expenses)"/>
    <tableColumn id="12" xr3:uid="{00000000-0010-0000-0000-00000C000000}" name="Net Income (Profit For the Year)"/>
    <tableColumn id="13" xr3:uid="{00000000-0010-0000-0000-00000D000000}" name="Depreciation (Depreciation Expense)"/>
    <tableColumn id="14" xr3:uid="{00000000-0010-0000-0000-00000E000000}" name="Year Listed"/>
    <tableColumn id="15" xr3:uid="{00000000-0010-0000-0000-00000F000000}" name="AGE"/>
  </tableColumns>
  <tableStyleInfo name="Calc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O195:O199" headerRowCount="0">
  <tableColumns count="1">
    <tableColumn id="1" xr3:uid="{00000000-0010-0000-0100-000001000000}" name="Column1"/>
  </tableColumns>
  <tableStyleInfo name="Calc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O201:O205" headerRowCount="0">
  <tableColumns count="1">
    <tableColumn id="1" xr3:uid="{00000000-0010-0000-0200-000001000000}" name="Column1"/>
  </tableColumns>
  <tableStyleInfo name="Calc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O207:O211" headerRowCount="0">
  <tableColumns count="1">
    <tableColumn id="1" xr3:uid="{00000000-0010-0000-0300-000001000000}" name="Column1"/>
  </tableColumns>
  <tableStyleInfo name="Calc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O213:O217" headerRowCount="0">
  <tableColumns count="1">
    <tableColumn id="1" xr3:uid="{00000000-0010-0000-0400-000001000000}" name="Column1"/>
  </tableColumns>
  <tableStyleInfo name="Calc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O219:O223" headerRowCount="0">
  <tableColumns count="1">
    <tableColumn id="1" xr3:uid="{00000000-0010-0000-0500-000001000000}" name="Column1"/>
  </tableColumns>
  <tableStyleInfo name="Calc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O225:O229" headerRowCount="0">
  <tableColumns count="1">
    <tableColumn id="1" xr3:uid="{00000000-0010-0000-0600-000001000000}" name="Column1"/>
  </tableColumns>
  <tableStyleInfo name="Calc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O231:O235" headerRowCount="0">
  <tableColumns count="1">
    <tableColumn id="1" xr3:uid="{00000000-0010-0000-0700-000001000000}" name="Column1"/>
  </tableColumns>
  <tableStyleInfo name="Calc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O237:O241" headerRowCount="0">
  <tableColumns count="1">
    <tableColumn id="1" xr3:uid="{00000000-0010-0000-0800-000001000000}" name="Column1"/>
  </tableColumns>
  <tableStyleInfo name="Calculatio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" displayName="Table2" ref="A1:L156">
  <tableColumns count="12">
    <tableColumn id="1" xr3:uid="{00000000-0010-0000-1C00-000001000000}" name="Emiten"/>
    <tableColumn id="2" xr3:uid="{00000000-0010-0000-1C00-000002000000}" name="Tahun"/>
    <tableColumn id="3" xr3:uid="{00000000-0010-0000-1C00-000003000000}" name="DER"/>
    <tableColumn id="4" xr3:uid="{00000000-0010-0000-1C00-000004000000}" name="TDR"/>
    <tableColumn id="5" xr3:uid="{00000000-0010-0000-1C00-000005000000}" name="ROE"/>
    <tableColumn id="6" xr3:uid="{00000000-0010-0000-1C00-000006000000}" name="TAN"/>
    <tableColumn id="7" xr3:uid="{00000000-0010-0000-1C00-000007000000}" name="LIQ"/>
    <tableColumn id="8" xr3:uid="{00000000-0010-0000-1C00-000008000000}" name="GRW"/>
    <tableColumn id="9" xr3:uid="{00000000-0010-0000-1C00-000009000000}" name="SIZ"/>
    <tableColumn id="10" xr3:uid="{00000000-0010-0000-1C00-00000A000000}" name="TAX"/>
    <tableColumn id="11" xr3:uid="{00000000-0010-0000-1C00-00000B000000}" name="AGE"/>
    <tableColumn id="12" xr3:uid="{00000000-0010-0000-1C00-00000C000000}" name="NDTS"/>
  </tableColumns>
  <tableStyleInfo name="Extrac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2"/>
  <sheetViews>
    <sheetView zoomScale="70" zoomScaleNormal="70" workbookViewId="0">
      <pane xSplit="2" ySplit="1" topLeftCell="O124" activePane="bottomRight" state="frozen"/>
      <selection pane="topRight" activeCell="C1" sqref="C1"/>
      <selection pane="bottomLeft" activeCell="A2" sqref="A2"/>
      <selection pane="bottomRight" activeCell="Q127" sqref="Q127"/>
    </sheetView>
  </sheetViews>
  <sheetFormatPr defaultColWidth="12.5703125" defaultRowHeight="15.75" customHeight="1" x14ac:dyDescent="0.2"/>
  <cols>
    <col min="1" max="1" width="10.5703125" customWidth="1"/>
    <col min="2" max="2" width="13.42578125" customWidth="1"/>
    <col min="3" max="3" width="22.140625" customWidth="1"/>
    <col min="4" max="4" width="25.85546875" customWidth="1"/>
    <col min="5" max="5" width="19.85546875" bestFit="1" customWidth="1"/>
    <col min="6" max="6" width="21.5703125" customWidth="1"/>
    <col min="7" max="7" width="20.42578125" customWidth="1"/>
    <col min="8" max="8" width="21.28515625" customWidth="1"/>
    <col min="9" max="9" width="19.42578125" customWidth="1"/>
    <col min="10" max="10" width="22.85546875" customWidth="1"/>
    <col min="11" max="11" width="26.85546875" customWidth="1"/>
    <col min="12" max="12" width="32.5703125" customWidth="1"/>
    <col min="13" max="13" width="35.5703125" customWidth="1"/>
    <col min="14" max="14" width="18.42578125" customWidth="1"/>
    <col min="15" max="15" width="17.7109375" customWidth="1"/>
  </cols>
  <sheetData>
    <row r="1" spans="1:15" ht="22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3" t="s">
        <v>11</v>
      </c>
      <c r="M1" s="5" t="s">
        <v>12</v>
      </c>
      <c r="N1" s="3" t="s">
        <v>13</v>
      </c>
      <c r="O1" s="2" t="s">
        <v>14</v>
      </c>
    </row>
    <row r="2" spans="1:15" ht="22.5" customHeight="1" x14ac:dyDescent="0.2">
      <c r="A2" s="8" t="s">
        <v>15</v>
      </c>
      <c r="B2" s="9">
        <v>2019</v>
      </c>
      <c r="C2" s="10"/>
      <c r="D2" s="10"/>
      <c r="E2" s="11"/>
      <c r="F2" s="11"/>
      <c r="G2" s="11"/>
      <c r="H2" s="12"/>
      <c r="I2" s="13">
        <v>3792475607000</v>
      </c>
      <c r="J2" s="12"/>
      <c r="K2" s="12"/>
      <c r="L2" s="12"/>
      <c r="M2" s="12"/>
      <c r="N2" s="14"/>
      <c r="O2" s="14"/>
    </row>
    <row r="3" spans="1:15" ht="22.5" customHeight="1" x14ac:dyDescent="0.2">
      <c r="A3" s="8"/>
      <c r="B3" s="15">
        <v>2020</v>
      </c>
      <c r="C3" s="16">
        <v>11676576495000</v>
      </c>
      <c r="D3" s="16">
        <v>18714783461000</v>
      </c>
      <c r="E3" s="17">
        <v>30391359956000</v>
      </c>
      <c r="F3" s="17">
        <v>6158911981000</v>
      </c>
      <c r="G3" s="17">
        <v>19036134922000</v>
      </c>
      <c r="H3" s="13">
        <v>11355225034000</v>
      </c>
      <c r="I3" s="13">
        <v>4956324700000</v>
      </c>
      <c r="J3" s="13">
        <v>1254480460000</v>
      </c>
      <c r="K3" s="13">
        <v>214555110000</v>
      </c>
      <c r="L3" s="13">
        <v>180144690000</v>
      </c>
      <c r="M3" s="13">
        <v>188737037000</v>
      </c>
      <c r="N3" s="18">
        <v>2010</v>
      </c>
      <c r="O3" s="18">
        <f t="shared" ref="O3:O7" si="0">B3-N3</f>
        <v>10</v>
      </c>
    </row>
    <row r="4" spans="1:15" ht="22.5" customHeight="1" x14ac:dyDescent="0.2">
      <c r="A4" s="8"/>
      <c r="B4" s="9">
        <v>2021</v>
      </c>
      <c r="C4" s="16">
        <v>11958891761000</v>
      </c>
      <c r="D4" s="16">
        <v>17652219432000</v>
      </c>
      <c r="E4" s="17">
        <v>29611111193000</v>
      </c>
      <c r="F4" s="17">
        <v>7314345544000</v>
      </c>
      <c r="G4" s="17">
        <v>19071333513000</v>
      </c>
      <c r="H4" s="13">
        <v>10539777680000</v>
      </c>
      <c r="I4" s="13">
        <v>4256245345000</v>
      </c>
      <c r="J4" s="13">
        <v>554113280000</v>
      </c>
      <c r="K4" s="13">
        <v>183387410000</v>
      </c>
      <c r="L4" s="13">
        <v>-485227632000</v>
      </c>
      <c r="M4" s="13">
        <v>285912302000</v>
      </c>
      <c r="N4" s="18">
        <v>2010</v>
      </c>
      <c r="O4" s="18">
        <f t="shared" si="0"/>
        <v>11</v>
      </c>
    </row>
    <row r="5" spans="1:15" ht="22.5" customHeight="1" x14ac:dyDescent="0.2">
      <c r="A5" s="8"/>
      <c r="B5" s="19">
        <v>2022</v>
      </c>
      <c r="C5" s="20">
        <v>11303386748000</v>
      </c>
      <c r="D5" s="16">
        <v>17314394993000</v>
      </c>
      <c r="E5" s="17">
        <v>28617781741000</v>
      </c>
      <c r="F5" s="17">
        <v>5771555207000</v>
      </c>
      <c r="G5" s="17">
        <v>16148220661000</v>
      </c>
      <c r="H5" s="13">
        <v>12469561080000</v>
      </c>
      <c r="I5" s="13">
        <v>8663824988000</v>
      </c>
      <c r="J5" s="13">
        <v>3768403830000</v>
      </c>
      <c r="K5" s="13">
        <v>312823830000</v>
      </c>
      <c r="L5" s="13">
        <v>2268910393000</v>
      </c>
      <c r="M5" s="13">
        <v>251429916000</v>
      </c>
      <c r="N5" s="18">
        <v>2010</v>
      </c>
      <c r="O5" s="18">
        <f t="shared" si="0"/>
        <v>12</v>
      </c>
    </row>
    <row r="6" spans="1:15" ht="22.5" customHeight="1" x14ac:dyDescent="0.2">
      <c r="A6" s="8"/>
      <c r="B6" s="19">
        <v>2023</v>
      </c>
      <c r="C6" s="20">
        <v>11110900726000</v>
      </c>
      <c r="D6" s="20">
        <v>17216650886000</v>
      </c>
      <c r="E6" s="21">
        <v>28327551612000</v>
      </c>
      <c r="F6" s="21">
        <v>8538370071000</v>
      </c>
      <c r="G6" s="21">
        <v>14876147126000</v>
      </c>
      <c r="H6" s="22">
        <v>13451404486000</v>
      </c>
      <c r="I6" s="22">
        <v>4676651899000</v>
      </c>
      <c r="J6" s="13">
        <v>943423270000</v>
      </c>
      <c r="K6" s="13">
        <v>200314247000</v>
      </c>
      <c r="L6" s="22">
        <v>1164518767000</v>
      </c>
      <c r="M6" s="13">
        <v>242599591000</v>
      </c>
      <c r="N6" s="18">
        <v>2010</v>
      </c>
      <c r="O6" s="18">
        <f t="shared" si="0"/>
        <v>13</v>
      </c>
    </row>
    <row r="7" spans="1:15" ht="22.5" customHeight="1" x14ac:dyDescent="0.2">
      <c r="A7" s="8"/>
      <c r="B7" s="23">
        <v>2024</v>
      </c>
      <c r="C7" s="20">
        <v>10864722185000</v>
      </c>
      <c r="D7" s="20">
        <v>15254955241000</v>
      </c>
      <c r="E7" s="21">
        <v>26119677426000</v>
      </c>
      <c r="F7" s="21">
        <v>4465148646000</v>
      </c>
      <c r="G7" s="21">
        <v>12335995789000</v>
      </c>
      <c r="H7" s="22">
        <v>13783681637000</v>
      </c>
      <c r="I7" s="22">
        <v>5576757087000</v>
      </c>
      <c r="J7" s="24">
        <v>1405599949000</v>
      </c>
      <c r="K7" s="24">
        <v>202679417000</v>
      </c>
      <c r="L7" s="22">
        <v>770526340000</v>
      </c>
      <c r="M7" s="22">
        <v>207349317000</v>
      </c>
      <c r="N7" s="18">
        <v>2010</v>
      </c>
      <c r="O7" s="25">
        <f t="shared" si="0"/>
        <v>14</v>
      </c>
    </row>
    <row r="8" spans="1:15" ht="22.5" customHeight="1" x14ac:dyDescent="0.2">
      <c r="A8" s="26" t="s">
        <v>16</v>
      </c>
      <c r="B8" s="19">
        <v>2019</v>
      </c>
      <c r="C8" s="10"/>
      <c r="D8" s="10"/>
      <c r="E8" s="11"/>
      <c r="F8" s="11"/>
      <c r="G8" s="11"/>
      <c r="H8" s="12"/>
      <c r="I8" s="13">
        <v>3475677175000</v>
      </c>
      <c r="J8" s="12"/>
      <c r="K8" s="12"/>
      <c r="L8" s="12"/>
      <c r="M8" s="12"/>
      <c r="N8" s="14"/>
      <c r="O8" s="14"/>
    </row>
    <row r="9" spans="1:15" ht="22.5" customHeight="1" x14ac:dyDescent="0.2">
      <c r="A9" s="26"/>
      <c r="B9" s="27">
        <v>2020</v>
      </c>
      <c r="C9" s="28">
        <v>2156001152000</v>
      </c>
      <c r="D9" s="16">
        <v>19070813719000</v>
      </c>
      <c r="E9" s="17">
        <v>21226814871000</v>
      </c>
      <c r="F9" s="17">
        <v>3198161431000</v>
      </c>
      <c r="G9" s="29">
        <v>11840666961000</v>
      </c>
      <c r="H9" s="30">
        <v>9386147910000</v>
      </c>
      <c r="I9" s="13">
        <v>1413251960000</v>
      </c>
      <c r="J9" s="13">
        <v>172780330000</v>
      </c>
      <c r="K9" s="30">
        <v>113380980000</v>
      </c>
      <c r="L9" s="13">
        <v>-1036617870000</v>
      </c>
      <c r="M9" s="13">
        <v>104947860000</v>
      </c>
      <c r="N9" s="18">
        <v>2007</v>
      </c>
      <c r="O9" s="31">
        <f t="shared" ref="O9:O13" si="1">B9-N9</f>
        <v>13</v>
      </c>
    </row>
    <row r="10" spans="1:15" ht="22.5" customHeight="1" x14ac:dyDescent="0.2">
      <c r="A10" s="26"/>
      <c r="B10" s="19">
        <v>2021</v>
      </c>
      <c r="C10" s="16">
        <v>3034403543000</v>
      </c>
      <c r="D10" s="16">
        <v>18899571171000</v>
      </c>
      <c r="E10" s="17">
        <v>21933974714000</v>
      </c>
      <c r="F10" s="17">
        <v>3633263428000</v>
      </c>
      <c r="G10" s="17">
        <v>12397883478000</v>
      </c>
      <c r="H10" s="13">
        <v>9536091236000</v>
      </c>
      <c r="I10" s="13">
        <v>2847323720000</v>
      </c>
      <c r="J10" s="13">
        <v>1109773040000</v>
      </c>
      <c r="K10" s="13">
        <v>87131850000</v>
      </c>
      <c r="L10" s="13">
        <v>142928790000</v>
      </c>
      <c r="M10" s="13">
        <v>62520700000</v>
      </c>
      <c r="N10" s="18">
        <v>2007</v>
      </c>
      <c r="O10" s="18">
        <f t="shared" si="1"/>
        <v>14</v>
      </c>
    </row>
    <row r="11" spans="1:15" ht="22.5" customHeight="1" x14ac:dyDescent="0.2">
      <c r="A11" s="26"/>
      <c r="B11" s="19">
        <v>2022</v>
      </c>
      <c r="C11" s="16">
        <v>3636178310000</v>
      </c>
      <c r="D11" s="16">
        <v>18662746961000</v>
      </c>
      <c r="E11" s="17">
        <v>22298925271000</v>
      </c>
      <c r="F11" s="17">
        <v>3717703477000</v>
      </c>
      <c r="G11" s="17">
        <v>11656300706000</v>
      </c>
      <c r="H11" s="13">
        <v>10642624565000</v>
      </c>
      <c r="I11" s="13">
        <v>4493531260000</v>
      </c>
      <c r="J11" s="13">
        <v>2139736770000</v>
      </c>
      <c r="K11" s="13">
        <v>123536910000</v>
      </c>
      <c r="L11" s="13">
        <v>1098364940000</v>
      </c>
      <c r="M11" s="13">
        <v>61418598000</v>
      </c>
      <c r="N11" s="18">
        <v>2007</v>
      </c>
      <c r="O11" s="18">
        <f t="shared" si="1"/>
        <v>15</v>
      </c>
    </row>
    <row r="12" spans="1:15" ht="22.5" customHeight="1" x14ac:dyDescent="0.2">
      <c r="A12" s="26"/>
      <c r="B12" s="19">
        <v>2023</v>
      </c>
      <c r="C12" s="16">
        <v>2905301328000</v>
      </c>
      <c r="D12" s="16">
        <v>19330935536000</v>
      </c>
      <c r="E12" s="17">
        <v>22236236864000</v>
      </c>
      <c r="F12" s="17">
        <v>3688162066000</v>
      </c>
      <c r="G12" s="17">
        <v>10965051102000</v>
      </c>
      <c r="H12" s="13">
        <v>11271185762000</v>
      </c>
      <c r="I12" s="13">
        <v>3956015546000</v>
      </c>
      <c r="J12" s="13">
        <v>1667193500000</v>
      </c>
      <c r="K12" s="13">
        <v>129534290000</v>
      </c>
      <c r="L12" s="13">
        <v>637639854000</v>
      </c>
      <c r="M12" s="13">
        <v>49482744000</v>
      </c>
      <c r="N12" s="18">
        <v>2007</v>
      </c>
      <c r="O12" s="18">
        <f t="shared" si="1"/>
        <v>16</v>
      </c>
    </row>
    <row r="13" spans="1:15" ht="22.5" customHeight="1" x14ac:dyDescent="0.2">
      <c r="A13" s="32"/>
      <c r="B13" s="23">
        <v>2024</v>
      </c>
      <c r="C13" s="33">
        <v>2832227835000</v>
      </c>
      <c r="D13" s="34">
        <v>19186803598000</v>
      </c>
      <c r="E13" s="35">
        <v>22019031433000</v>
      </c>
      <c r="F13" s="35">
        <v>3704391625000</v>
      </c>
      <c r="G13" s="35">
        <v>10683291993000</v>
      </c>
      <c r="H13" s="24">
        <v>11335739440000</v>
      </c>
      <c r="I13" s="13">
        <v>3433337156000</v>
      </c>
      <c r="J13" s="24">
        <v>1239889270000</v>
      </c>
      <c r="K13" s="24">
        <v>105105660000</v>
      </c>
      <c r="L13" s="13">
        <v>65136557000</v>
      </c>
      <c r="M13" s="13">
        <v>53956088000</v>
      </c>
      <c r="N13" s="18">
        <v>2007</v>
      </c>
      <c r="O13" s="25">
        <f t="shared" si="1"/>
        <v>17</v>
      </c>
    </row>
    <row r="14" spans="1:15" ht="22.5" customHeight="1" x14ac:dyDescent="0.2">
      <c r="A14" s="26" t="s">
        <v>17</v>
      </c>
      <c r="B14" s="19">
        <v>2019</v>
      </c>
      <c r="C14" s="10"/>
      <c r="D14" s="10"/>
      <c r="E14" s="11"/>
      <c r="F14" s="11"/>
      <c r="G14" s="11"/>
      <c r="H14" s="12"/>
      <c r="I14" s="22">
        <v>24233788566</v>
      </c>
      <c r="J14" s="12"/>
      <c r="K14" s="12"/>
      <c r="L14" s="12"/>
      <c r="M14" s="12"/>
      <c r="N14" s="14"/>
      <c r="O14" s="14"/>
    </row>
    <row r="15" spans="1:15" ht="22.5" customHeight="1" x14ac:dyDescent="0.2">
      <c r="A15" s="36"/>
      <c r="B15" s="37">
        <v>2020</v>
      </c>
      <c r="C15" s="20">
        <f>107744636327-82118871642</f>
        <v>25625764685</v>
      </c>
      <c r="D15" s="20">
        <v>116681006344</v>
      </c>
      <c r="E15" s="21">
        <v>142306771029</v>
      </c>
      <c r="F15" s="21">
        <v>7445381494</v>
      </c>
      <c r="G15" s="21">
        <v>8098923359</v>
      </c>
      <c r="H15" s="22">
        <v>134207847670</v>
      </c>
      <c r="I15" s="22">
        <v>9518983284</v>
      </c>
      <c r="J15" s="38">
        <v>-2416160000</v>
      </c>
      <c r="K15" s="39">
        <v>378130000</v>
      </c>
      <c r="L15" s="22">
        <v>-3737826580</v>
      </c>
      <c r="M15" s="22">
        <v>490282306</v>
      </c>
      <c r="N15" s="40">
        <v>2008</v>
      </c>
      <c r="O15" s="41">
        <f t="shared" ref="O15:O19" si="2">B15-N15</f>
        <v>12</v>
      </c>
    </row>
    <row r="16" spans="1:15" ht="22.5" customHeight="1" x14ac:dyDescent="0.2">
      <c r="A16" s="26"/>
      <c r="B16" s="42">
        <v>2021</v>
      </c>
      <c r="C16" s="20">
        <v>24281768224</v>
      </c>
      <c r="D16" s="20">
        <v>115289230111</v>
      </c>
      <c r="E16" s="21">
        <v>139570998335</v>
      </c>
      <c r="F16" s="21">
        <v>6792627578</v>
      </c>
      <c r="G16" s="21">
        <v>7171085839</v>
      </c>
      <c r="H16" s="22">
        <v>132399912496</v>
      </c>
      <c r="I16" s="22">
        <v>6194779683</v>
      </c>
      <c r="J16" s="13">
        <v>-1708580000</v>
      </c>
      <c r="K16" s="39">
        <v>284410000</v>
      </c>
      <c r="L16" s="22">
        <v>-2052255452</v>
      </c>
      <c r="M16" s="22">
        <v>490840486</v>
      </c>
      <c r="N16" s="40">
        <v>2008</v>
      </c>
      <c r="O16" s="41">
        <f t="shared" si="2"/>
        <v>13</v>
      </c>
    </row>
    <row r="17" spans="1:15" ht="22.5" customHeight="1" x14ac:dyDescent="0.2">
      <c r="A17" s="26"/>
      <c r="B17" s="42">
        <v>2022</v>
      </c>
      <c r="C17" s="20">
        <v>22845370858</v>
      </c>
      <c r="D17" s="20">
        <v>112588642630</v>
      </c>
      <c r="E17" s="21">
        <v>135434013488</v>
      </c>
      <c r="F17" s="21">
        <v>6382787788</v>
      </c>
      <c r="G17" s="21">
        <v>6589092293</v>
      </c>
      <c r="H17" s="22">
        <v>128844921195</v>
      </c>
      <c r="I17" s="22">
        <v>3716043983</v>
      </c>
      <c r="J17" s="13">
        <v>-3389301025</v>
      </c>
      <c r="K17" s="39">
        <v>209046878</v>
      </c>
      <c r="L17" s="22">
        <v>-3712072464</v>
      </c>
      <c r="M17" s="22">
        <v>391354364</v>
      </c>
      <c r="N17" s="40">
        <v>2008</v>
      </c>
      <c r="O17" s="41">
        <f t="shared" si="2"/>
        <v>14</v>
      </c>
    </row>
    <row r="18" spans="1:15" ht="22.5" customHeight="1" x14ac:dyDescent="0.2">
      <c r="A18" s="26"/>
      <c r="B18" s="42">
        <v>2023</v>
      </c>
      <c r="C18" s="43">
        <v>23288555973</v>
      </c>
      <c r="D18" s="43">
        <v>111573770722</v>
      </c>
      <c r="E18" s="17">
        <v>134862326695</v>
      </c>
      <c r="F18" s="17">
        <v>8585199688</v>
      </c>
      <c r="G18" s="21">
        <v>9062277504</v>
      </c>
      <c r="H18" s="22">
        <v>125800049191</v>
      </c>
      <c r="I18" s="22">
        <v>8119901265</v>
      </c>
      <c r="J18" s="22">
        <v>-2331594337</v>
      </c>
      <c r="K18" s="39">
        <v>335560000</v>
      </c>
      <c r="L18" s="22">
        <v>-2857333912</v>
      </c>
      <c r="M18" s="13">
        <v>511334453</v>
      </c>
      <c r="N18" s="40">
        <v>2008</v>
      </c>
      <c r="O18" s="41">
        <f t="shared" si="2"/>
        <v>15</v>
      </c>
    </row>
    <row r="19" spans="1:15" ht="22.5" customHeight="1" x14ac:dyDescent="0.2">
      <c r="A19" s="32"/>
      <c r="B19" s="44">
        <v>2024</v>
      </c>
      <c r="C19" s="45">
        <v>23781119616</v>
      </c>
      <c r="D19" s="45">
        <v>108899900112</v>
      </c>
      <c r="E19" s="35">
        <v>132681019728</v>
      </c>
      <c r="F19" s="35">
        <v>10764200911</v>
      </c>
      <c r="G19" s="21">
        <v>12058589498</v>
      </c>
      <c r="H19" s="22">
        <v>120622430230</v>
      </c>
      <c r="I19" s="22">
        <v>4066108299</v>
      </c>
      <c r="J19" s="22">
        <v>-4171546149</v>
      </c>
      <c r="K19" s="46">
        <v>164610000</v>
      </c>
      <c r="L19" s="22">
        <v>-4572611851</v>
      </c>
      <c r="M19" s="13">
        <v>475830398</v>
      </c>
      <c r="N19" s="40">
        <v>2008</v>
      </c>
      <c r="O19" s="47">
        <f t="shared" si="2"/>
        <v>16</v>
      </c>
    </row>
    <row r="20" spans="1:15" ht="22.5" customHeight="1" x14ac:dyDescent="0.2">
      <c r="A20" s="48" t="s">
        <v>18</v>
      </c>
      <c r="B20" s="42">
        <v>2019</v>
      </c>
      <c r="C20" s="10"/>
      <c r="D20" s="10"/>
      <c r="E20" s="11"/>
      <c r="F20" s="11"/>
      <c r="G20" s="11"/>
      <c r="H20" s="12"/>
      <c r="I20" s="13">
        <v>131094399577</v>
      </c>
      <c r="J20" s="12"/>
      <c r="K20" s="12"/>
      <c r="L20" s="12"/>
      <c r="M20" s="12"/>
      <c r="N20" s="14"/>
      <c r="O20" s="14"/>
    </row>
    <row r="21" spans="1:15" ht="22.5" customHeight="1" x14ac:dyDescent="0.2">
      <c r="A21" s="48"/>
      <c r="B21" s="37">
        <v>2020</v>
      </c>
      <c r="C21" s="16">
        <v>395767984972</v>
      </c>
      <c r="D21" s="16">
        <v>513496477691</v>
      </c>
      <c r="E21" s="17">
        <v>909264462663</v>
      </c>
      <c r="F21" s="17">
        <v>308300895925</v>
      </c>
      <c r="G21" s="17">
        <v>462672453925</v>
      </c>
      <c r="H21" s="13">
        <v>446592008738</v>
      </c>
      <c r="I21" s="13">
        <v>73155228143</v>
      </c>
      <c r="J21" s="13">
        <v>-4159761783</v>
      </c>
      <c r="K21" s="13">
        <v>1617220000</v>
      </c>
      <c r="L21" s="13">
        <v>12990820000</v>
      </c>
      <c r="M21" s="13">
        <v>2322249697</v>
      </c>
      <c r="N21" s="18">
        <v>2009</v>
      </c>
      <c r="O21" s="18">
        <f t="shared" ref="O21:O25" si="3">B21-N21</f>
        <v>11</v>
      </c>
    </row>
    <row r="22" spans="1:15" ht="22.5" customHeight="1" x14ac:dyDescent="0.2">
      <c r="A22" s="48"/>
      <c r="B22" s="42">
        <v>2021</v>
      </c>
      <c r="C22" s="16">
        <v>347736855343</v>
      </c>
      <c r="D22" s="16">
        <v>539336210053</v>
      </c>
      <c r="E22" s="17">
        <v>887073065396</v>
      </c>
      <c r="F22" s="17">
        <v>101144035422</v>
      </c>
      <c r="G22" s="17">
        <v>440374923594</v>
      </c>
      <c r="H22" s="13">
        <v>446698141802</v>
      </c>
      <c r="I22" s="13">
        <v>60409520263</v>
      </c>
      <c r="J22" s="13">
        <v>-2724931140</v>
      </c>
      <c r="K22" s="13">
        <v>3408850000</v>
      </c>
      <c r="L22" s="13">
        <v>124179366</v>
      </c>
      <c r="M22" s="13">
        <v>2917343445</v>
      </c>
      <c r="N22" s="18">
        <v>2009</v>
      </c>
      <c r="O22" s="18">
        <f t="shared" si="3"/>
        <v>12</v>
      </c>
    </row>
    <row r="23" spans="1:15" ht="22.5" customHeight="1" x14ac:dyDescent="0.2">
      <c r="A23" s="48"/>
      <c r="B23" s="42">
        <v>2022</v>
      </c>
      <c r="C23" s="16">
        <v>366321332034</v>
      </c>
      <c r="D23" s="16">
        <v>517713181088</v>
      </c>
      <c r="E23" s="17">
        <v>884034513122</v>
      </c>
      <c r="F23" s="17">
        <v>81907072930</v>
      </c>
      <c r="G23" s="17">
        <v>420288826352</v>
      </c>
      <c r="H23" s="13">
        <v>463745686769</v>
      </c>
      <c r="I23" s="13">
        <v>93742996267</v>
      </c>
      <c r="J23" s="13">
        <v>12378007493</v>
      </c>
      <c r="K23" s="13">
        <v>4138710000</v>
      </c>
      <c r="L23" s="13">
        <v>17063851989</v>
      </c>
      <c r="M23" s="13">
        <v>2271376466</v>
      </c>
      <c r="N23" s="18">
        <v>2009</v>
      </c>
      <c r="O23" s="18">
        <f t="shared" si="3"/>
        <v>13</v>
      </c>
    </row>
    <row r="24" spans="1:15" ht="22.5" customHeight="1" x14ac:dyDescent="0.2">
      <c r="A24" s="48"/>
      <c r="B24" s="42">
        <v>2023</v>
      </c>
      <c r="C24" s="20">
        <v>380086878947</v>
      </c>
      <c r="D24" s="16">
        <v>530545675686</v>
      </c>
      <c r="E24" s="17">
        <v>910632554632</v>
      </c>
      <c r="F24" s="17">
        <v>84501811522</v>
      </c>
      <c r="G24" s="17">
        <v>429633626606</v>
      </c>
      <c r="H24" s="13">
        <v>480998928026</v>
      </c>
      <c r="I24" s="13">
        <v>94302986070</v>
      </c>
      <c r="J24" s="13">
        <v>11321818102</v>
      </c>
      <c r="K24" s="13">
        <v>3855150000</v>
      </c>
      <c r="L24" s="13">
        <v>17290964462</v>
      </c>
      <c r="M24" s="13">
        <v>2161799094</v>
      </c>
      <c r="N24" s="18">
        <v>2009</v>
      </c>
      <c r="O24" s="18">
        <f t="shared" si="3"/>
        <v>14</v>
      </c>
    </row>
    <row r="25" spans="1:15" ht="22.5" customHeight="1" x14ac:dyDescent="0.2">
      <c r="A25" s="49"/>
      <c r="B25" s="44">
        <v>2024</v>
      </c>
      <c r="C25" s="34">
        <v>358863132348</v>
      </c>
      <c r="D25" s="34">
        <v>556635875773</v>
      </c>
      <c r="E25" s="35">
        <v>915499008121</v>
      </c>
      <c r="F25" s="35">
        <v>102828240347</v>
      </c>
      <c r="G25" s="35">
        <v>421739606444</v>
      </c>
      <c r="H25" s="24">
        <v>493759401677</v>
      </c>
      <c r="I25" s="13">
        <v>100002191228</v>
      </c>
      <c r="J25" s="24">
        <v>8298864109</v>
      </c>
      <c r="K25" s="24">
        <v>4014790000</v>
      </c>
      <c r="L25" s="13">
        <v>15271683642</v>
      </c>
      <c r="M25" s="13">
        <v>2686557561</v>
      </c>
      <c r="N25" s="18">
        <v>2009</v>
      </c>
      <c r="O25" s="25">
        <f t="shared" si="3"/>
        <v>15</v>
      </c>
    </row>
    <row r="26" spans="1:15" ht="22.5" customHeight="1" x14ac:dyDescent="0.2">
      <c r="A26" s="48" t="s">
        <v>19</v>
      </c>
      <c r="B26" s="42">
        <v>2019</v>
      </c>
      <c r="C26" s="10"/>
      <c r="D26" s="10"/>
      <c r="E26" s="11"/>
      <c r="F26" s="11"/>
      <c r="G26" s="11"/>
      <c r="H26" s="12"/>
      <c r="I26" s="13">
        <v>950545546999</v>
      </c>
      <c r="J26" s="12"/>
      <c r="K26" s="12"/>
      <c r="L26" s="12"/>
      <c r="M26" s="12"/>
      <c r="N26" s="14"/>
      <c r="O26" s="14"/>
    </row>
    <row r="27" spans="1:15" ht="22.5" customHeight="1" x14ac:dyDescent="0.2">
      <c r="A27" s="50"/>
      <c r="B27" s="37">
        <v>2020</v>
      </c>
      <c r="C27" s="16">
        <v>2722827270198</v>
      </c>
      <c r="D27" s="16">
        <v>3559352959534</v>
      </c>
      <c r="E27" s="17">
        <v>6282180229732</v>
      </c>
      <c r="F27" s="17">
        <v>258669858995</v>
      </c>
      <c r="G27" s="17">
        <v>1925523126081</v>
      </c>
      <c r="H27" s="13">
        <v>4356657103651</v>
      </c>
      <c r="I27" s="13">
        <v>242320700845</v>
      </c>
      <c r="J27" s="13">
        <v>22157030000</v>
      </c>
      <c r="K27" s="13">
        <v>5817220000</v>
      </c>
      <c r="L27" s="13">
        <v>-115219635076</v>
      </c>
      <c r="M27" s="13">
        <v>15870787108</v>
      </c>
      <c r="N27" s="18">
        <v>2012</v>
      </c>
      <c r="O27" s="18">
        <f t="shared" ref="O27:O31" si="4">B27-N27</f>
        <v>8</v>
      </c>
    </row>
    <row r="28" spans="1:15" ht="22.5" customHeight="1" x14ac:dyDescent="0.2">
      <c r="A28" s="51"/>
      <c r="B28" s="42">
        <v>2021</v>
      </c>
      <c r="C28" s="16">
        <v>2512714351541</v>
      </c>
      <c r="D28" s="16">
        <v>3533498033871</v>
      </c>
      <c r="E28" s="17">
        <v>6046212385412</v>
      </c>
      <c r="F28" s="17">
        <v>432585170220</v>
      </c>
      <c r="G28" s="17">
        <v>1752315039995</v>
      </c>
      <c r="H28" s="13">
        <v>4293897345417</v>
      </c>
      <c r="I28" s="13">
        <v>229835755986</v>
      </c>
      <c r="J28" s="13">
        <v>29479890000</v>
      </c>
      <c r="K28" s="13">
        <v>6142760000</v>
      </c>
      <c r="L28" s="13">
        <v>-71095023263</v>
      </c>
      <c r="M28" s="13">
        <v>14475488334</v>
      </c>
      <c r="N28" s="18">
        <v>2012</v>
      </c>
      <c r="O28" s="18">
        <f t="shared" si="4"/>
        <v>9</v>
      </c>
    </row>
    <row r="29" spans="1:15" ht="22.5" customHeight="1" x14ac:dyDescent="0.2">
      <c r="A29" s="51"/>
      <c r="B29" s="42">
        <v>2022</v>
      </c>
      <c r="C29" s="16">
        <v>2587148796402</v>
      </c>
      <c r="D29" s="16">
        <v>3491320112624</v>
      </c>
      <c r="E29" s="17">
        <v>6078468909026</v>
      </c>
      <c r="F29" s="17">
        <v>279952124627</v>
      </c>
      <c r="G29" s="17">
        <v>1749964841755</v>
      </c>
      <c r="H29" s="13">
        <v>4328504067271</v>
      </c>
      <c r="I29" s="13">
        <v>542834010731</v>
      </c>
      <c r="J29" s="13">
        <v>217390750000</v>
      </c>
      <c r="K29" s="13">
        <v>13683940000</v>
      </c>
      <c r="L29" s="13">
        <v>33729572546</v>
      </c>
      <c r="M29" s="13">
        <v>13411716896</v>
      </c>
      <c r="N29" s="18">
        <v>2012</v>
      </c>
      <c r="O29" s="18">
        <f t="shared" si="4"/>
        <v>10</v>
      </c>
    </row>
    <row r="30" spans="1:15" ht="22.5" customHeight="1" x14ac:dyDescent="0.2">
      <c r="A30" s="51"/>
      <c r="B30" s="42">
        <v>2023</v>
      </c>
      <c r="C30" s="16">
        <v>2429482806528</v>
      </c>
      <c r="D30" s="16">
        <v>3510621542592</v>
      </c>
      <c r="E30" s="17">
        <v>5940104349120</v>
      </c>
      <c r="F30" s="17">
        <v>242206129142</v>
      </c>
      <c r="G30" s="17">
        <v>1572306529495</v>
      </c>
      <c r="H30" s="13">
        <v>4367797819625</v>
      </c>
      <c r="I30" s="13">
        <v>544314875513</v>
      </c>
      <c r="J30" s="13">
        <v>226477640000</v>
      </c>
      <c r="K30" s="13">
        <v>13096340000</v>
      </c>
      <c r="L30" s="13">
        <v>39528179905</v>
      </c>
      <c r="M30" s="13">
        <v>13981686993</v>
      </c>
      <c r="N30" s="18">
        <v>2012</v>
      </c>
      <c r="O30" s="18">
        <f t="shared" si="4"/>
        <v>11</v>
      </c>
    </row>
    <row r="31" spans="1:15" ht="22.5" customHeight="1" x14ac:dyDescent="0.2">
      <c r="A31" s="52"/>
      <c r="B31" s="44">
        <v>2024</v>
      </c>
      <c r="C31" s="34">
        <v>2285508367613</v>
      </c>
      <c r="D31" s="34">
        <v>3541700062485</v>
      </c>
      <c r="E31" s="35">
        <v>5827208430098</v>
      </c>
      <c r="F31" s="35">
        <v>230503232839</v>
      </c>
      <c r="G31" s="35">
        <v>1401047153697</v>
      </c>
      <c r="H31" s="24">
        <v>4426161276401</v>
      </c>
      <c r="I31" s="13">
        <v>457589770772</v>
      </c>
      <c r="J31" s="24">
        <v>172045640000</v>
      </c>
      <c r="K31" s="24">
        <v>13403550000</v>
      </c>
      <c r="L31" s="13">
        <v>58582277467</v>
      </c>
      <c r="M31" s="13">
        <v>14014116310</v>
      </c>
      <c r="N31" s="18">
        <v>2012</v>
      </c>
      <c r="O31" s="25">
        <f t="shared" si="4"/>
        <v>12</v>
      </c>
    </row>
    <row r="32" spans="1:15" ht="22.5" customHeight="1" x14ac:dyDescent="0.2">
      <c r="A32" s="51" t="s">
        <v>20</v>
      </c>
      <c r="B32" s="42">
        <v>2019</v>
      </c>
      <c r="C32" s="10"/>
      <c r="D32" s="10"/>
      <c r="E32" s="11"/>
      <c r="F32" s="11"/>
      <c r="G32" s="11"/>
      <c r="H32" s="12"/>
      <c r="I32" s="13">
        <v>359062749459</v>
      </c>
      <c r="J32" s="12"/>
      <c r="K32" s="12"/>
      <c r="L32" s="12"/>
      <c r="M32" s="12"/>
      <c r="N32" s="14"/>
      <c r="O32" s="14"/>
    </row>
    <row r="33" spans="1:15" ht="22.5" customHeight="1" x14ac:dyDescent="0.2">
      <c r="A33" s="50"/>
      <c r="B33" s="37">
        <v>2020</v>
      </c>
      <c r="C33" s="16">
        <v>987418770826</v>
      </c>
      <c r="D33" s="16">
        <v>1139106559488</v>
      </c>
      <c r="E33" s="17">
        <v>2126525330314</v>
      </c>
      <c r="F33" s="17">
        <v>378439919105</v>
      </c>
      <c r="G33" s="17">
        <v>919581439010</v>
      </c>
      <c r="H33" s="13">
        <v>1206943891304</v>
      </c>
      <c r="I33" s="13">
        <v>529839404669</v>
      </c>
      <c r="J33" s="13">
        <v>143700277536</v>
      </c>
      <c r="K33" s="13">
        <v>16884070000</v>
      </c>
      <c r="L33" s="13">
        <v>94063090000</v>
      </c>
      <c r="M33" s="13">
        <v>7111076320</v>
      </c>
      <c r="N33" s="18">
        <v>1995</v>
      </c>
      <c r="O33" s="18">
        <f t="shared" ref="O33:O37" si="5">B33-N33</f>
        <v>25</v>
      </c>
    </row>
    <row r="34" spans="1:15" ht="22.5" customHeight="1" x14ac:dyDescent="0.2">
      <c r="A34" s="51"/>
      <c r="B34" s="42">
        <v>2021</v>
      </c>
      <c r="C34" s="16">
        <v>715590607726</v>
      </c>
      <c r="D34" s="16">
        <v>1329692580492</v>
      </c>
      <c r="E34" s="17">
        <v>2045283188218</v>
      </c>
      <c r="F34" s="17">
        <v>418513498673</v>
      </c>
      <c r="G34" s="17">
        <v>942012364746</v>
      </c>
      <c r="H34" s="13">
        <v>1103270823472</v>
      </c>
      <c r="I34" s="13">
        <v>293991355499</v>
      </c>
      <c r="J34" s="13">
        <v>67416473305</v>
      </c>
      <c r="K34" s="13">
        <v>12086260000</v>
      </c>
      <c r="L34" s="13">
        <v>19556640000</v>
      </c>
      <c r="M34" s="13">
        <v>6846229884</v>
      </c>
      <c r="N34" s="18">
        <v>1995</v>
      </c>
      <c r="O34" s="18">
        <f t="shared" si="5"/>
        <v>26</v>
      </c>
    </row>
    <row r="35" spans="1:15" ht="22.5" customHeight="1" x14ac:dyDescent="0.2">
      <c r="A35" s="51"/>
      <c r="B35" s="42">
        <v>2022</v>
      </c>
      <c r="C35" s="16">
        <v>573208654112</v>
      </c>
      <c r="D35" s="16">
        <v>1315127852645</v>
      </c>
      <c r="E35" s="17">
        <v>1888336506757</v>
      </c>
      <c r="F35" s="17">
        <v>247729876368</v>
      </c>
      <c r="G35" s="17">
        <v>806384409413</v>
      </c>
      <c r="H35" s="13">
        <v>1081952097344</v>
      </c>
      <c r="I35" s="13">
        <v>327320863485</v>
      </c>
      <c r="J35" s="13">
        <v>77290508572</v>
      </c>
      <c r="K35" s="13">
        <v>12812350000</v>
      </c>
      <c r="L35" s="13">
        <v>25273690000</v>
      </c>
      <c r="M35" s="13">
        <v>7988936242</v>
      </c>
      <c r="N35" s="18">
        <v>1995</v>
      </c>
      <c r="O35" s="18">
        <f t="shared" si="5"/>
        <v>27</v>
      </c>
    </row>
    <row r="36" spans="1:15" ht="22.5" customHeight="1" x14ac:dyDescent="0.2">
      <c r="A36" s="51"/>
      <c r="B36" s="42">
        <v>2023</v>
      </c>
      <c r="C36" s="16">
        <v>509753644372</v>
      </c>
      <c r="D36" s="16">
        <v>1435570222861</v>
      </c>
      <c r="E36" s="17">
        <v>1945323867233</v>
      </c>
      <c r="F36" s="17">
        <v>257412101987</v>
      </c>
      <c r="G36" s="17">
        <v>891896202079</v>
      </c>
      <c r="H36" s="13">
        <v>1053427665154</v>
      </c>
      <c r="I36" s="13">
        <v>264064990351</v>
      </c>
      <c r="J36" s="13">
        <v>54739339966</v>
      </c>
      <c r="K36" s="13">
        <v>9463760000</v>
      </c>
      <c r="L36" s="13">
        <v>-4472990784</v>
      </c>
      <c r="M36" s="13">
        <v>10509468325</v>
      </c>
      <c r="N36" s="18">
        <v>1995</v>
      </c>
      <c r="O36" s="18">
        <f t="shared" si="5"/>
        <v>28</v>
      </c>
    </row>
    <row r="37" spans="1:15" ht="22.5" customHeight="1" x14ac:dyDescent="0.2">
      <c r="A37" s="52"/>
      <c r="B37" s="44">
        <v>2024</v>
      </c>
      <c r="C37" s="34">
        <v>415752030680</v>
      </c>
      <c r="D37" s="34">
        <v>1445259166357</v>
      </c>
      <c r="E37" s="35">
        <v>1861011197037</v>
      </c>
      <c r="F37" s="35">
        <v>228206979554</v>
      </c>
      <c r="G37" s="35">
        <v>837870148178</v>
      </c>
      <c r="H37" s="24">
        <v>1023141048859</v>
      </c>
      <c r="I37" s="13">
        <v>258557430709</v>
      </c>
      <c r="J37" s="24">
        <v>56178512167</v>
      </c>
      <c r="K37" s="24">
        <v>15698040000</v>
      </c>
      <c r="L37" s="13">
        <v>-6450817152</v>
      </c>
      <c r="M37" s="13">
        <v>11198281375</v>
      </c>
      <c r="N37" s="18">
        <v>1995</v>
      </c>
      <c r="O37" s="25">
        <f t="shared" si="5"/>
        <v>29</v>
      </c>
    </row>
    <row r="38" spans="1:15" ht="22.5" customHeight="1" x14ac:dyDescent="0.2">
      <c r="A38" s="51" t="s">
        <v>21</v>
      </c>
      <c r="B38" s="42">
        <v>2019</v>
      </c>
      <c r="C38" s="10"/>
      <c r="D38" s="10"/>
      <c r="E38" s="11"/>
      <c r="F38" s="11"/>
      <c r="G38" s="11"/>
      <c r="H38" s="12"/>
      <c r="I38" s="13">
        <v>35174135994</v>
      </c>
      <c r="J38" s="12"/>
      <c r="K38" s="12"/>
      <c r="L38" s="12"/>
      <c r="M38" s="12"/>
      <c r="N38" s="14"/>
      <c r="O38" s="14"/>
    </row>
    <row r="39" spans="1:15" ht="22.5" customHeight="1" x14ac:dyDescent="0.2">
      <c r="A39" s="50"/>
      <c r="B39" s="37">
        <v>2020</v>
      </c>
      <c r="C39" s="16">
        <v>86926323534</v>
      </c>
      <c r="D39" s="16">
        <v>703913851987</v>
      </c>
      <c r="E39" s="17">
        <v>790840175521</v>
      </c>
      <c r="F39" s="17">
        <v>171661406293</v>
      </c>
      <c r="G39" s="17">
        <v>309509265589</v>
      </c>
      <c r="H39" s="13">
        <v>481330909932</v>
      </c>
      <c r="I39" s="13">
        <v>19558738651</v>
      </c>
      <c r="J39" s="13">
        <v>-28936032740</v>
      </c>
      <c r="K39" s="13">
        <v>1248580000</v>
      </c>
      <c r="L39" s="13">
        <v>-31050114021</v>
      </c>
      <c r="M39" s="13">
        <v>3058630965</v>
      </c>
      <c r="N39" s="18">
        <v>2007</v>
      </c>
      <c r="O39" s="18">
        <f t="shared" ref="O39:O43" si="6">B39-N39</f>
        <v>13</v>
      </c>
    </row>
    <row r="40" spans="1:15" ht="22.5" customHeight="1" x14ac:dyDescent="0.2">
      <c r="A40" s="51"/>
      <c r="B40" s="42">
        <v>2021</v>
      </c>
      <c r="C40" s="16">
        <v>82564049560</v>
      </c>
      <c r="D40" s="16">
        <v>691575548789</v>
      </c>
      <c r="E40" s="17">
        <v>774139598349</v>
      </c>
      <c r="F40" s="17">
        <v>108482187823</v>
      </c>
      <c r="G40" s="17">
        <v>327575792987</v>
      </c>
      <c r="H40" s="13">
        <v>446563805362</v>
      </c>
      <c r="I40" s="13">
        <v>23401842549</v>
      </c>
      <c r="J40" s="13">
        <v>-28529682149</v>
      </c>
      <c r="K40" s="13">
        <v>2250300000</v>
      </c>
      <c r="L40" s="13">
        <v>-36260265843</v>
      </c>
      <c r="M40" s="13">
        <v>1381646874</v>
      </c>
      <c r="N40" s="18">
        <v>2007</v>
      </c>
      <c r="O40" s="18">
        <f t="shared" si="6"/>
        <v>14</v>
      </c>
    </row>
    <row r="41" spans="1:15" ht="22.5" customHeight="1" x14ac:dyDescent="0.2">
      <c r="A41" s="51"/>
      <c r="B41" s="42">
        <v>2022</v>
      </c>
      <c r="C41" s="16">
        <v>67137207858</v>
      </c>
      <c r="D41" s="16">
        <v>689362499004</v>
      </c>
      <c r="E41" s="17">
        <v>756499706863</v>
      </c>
      <c r="F41" s="17">
        <v>129540100587</v>
      </c>
      <c r="G41" s="17">
        <v>343253957213</v>
      </c>
      <c r="H41" s="13">
        <v>413245749649</v>
      </c>
      <c r="I41" s="13">
        <v>26035856958</v>
      </c>
      <c r="J41" s="13">
        <v>-25835667911</v>
      </c>
      <c r="K41" s="13">
        <v>3234750000</v>
      </c>
      <c r="L41" s="13">
        <v>-33007921041</v>
      </c>
      <c r="M41" s="13">
        <v>1088585745</v>
      </c>
      <c r="N41" s="18">
        <v>2007</v>
      </c>
      <c r="O41" s="18">
        <f t="shared" si="6"/>
        <v>15</v>
      </c>
    </row>
    <row r="42" spans="1:15" ht="22.5" customHeight="1" x14ac:dyDescent="0.2">
      <c r="A42" s="51"/>
      <c r="B42" s="42">
        <v>2023</v>
      </c>
      <c r="C42" s="16">
        <v>59018547316</v>
      </c>
      <c r="D42" s="16">
        <v>699220052510</v>
      </c>
      <c r="E42" s="17">
        <v>758238599826</v>
      </c>
      <c r="F42" s="17">
        <v>158947123114</v>
      </c>
      <c r="G42" s="17">
        <v>376331162576</v>
      </c>
      <c r="H42" s="13">
        <v>381907437249</v>
      </c>
      <c r="I42" s="13">
        <v>31211356619</v>
      </c>
      <c r="J42" s="13">
        <v>-29357729455</v>
      </c>
      <c r="K42" s="13">
        <v>2971820000</v>
      </c>
      <c r="L42" s="13">
        <v>-34594542018</v>
      </c>
      <c r="M42" s="13">
        <v>1042750130</v>
      </c>
      <c r="N42" s="18">
        <v>2007</v>
      </c>
      <c r="O42" s="18">
        <f t="shared" si="6"/>
        <v>16</v>
      </c>
    </row>
    <row r="43" spans="1:15" ht="22.5" customHeight="1" x14ac:dyDescent="0.2">
      <c r="A43" s="52"/>
      <c r="B43" s="44">
        <v>2024</v>
      </c>
      <c r="C43" s="34">
        <v>56104668087</v>
      </c>
      <c r="D43" s="34">
        <v>696140494329</v>
      </c>
      <c r="E43" s="35">
        <v>752245162416</v>
      </c>
      <c r="F43" s="35">
        <v>183388019245</v>
      </c>
      <c r="G43" s="35">
        <v>406482108034</v>
      </c>
      <c r="H43" s="24">
        <v>345763054382</v>
      </c>
      <c r="I43" s="13">
        <v>30520490000</v>
      </c>
      <c r="J43" s="24">
        <v>-30550273161</v>
      </c>
      <c r="K43" s="24">
        <v>3111160000</v>
      </c>
      <c r="L43" s="13">
        <v>-35914000850</v>
      </c>
      <c r="M43" s="13">
        <v>1015053508</v>
      </c>
      <c r="N43" s="18">
        <v>2007</v>
      </c>
      <c r="O43" s="25">
        <f t="shared" si="6"/>
        <v>17</v>
      </c>
    </row>
    <row r="44" spans="1:15" ht="22.5" customHeight="1" x14ac:dyDescent="0.2">
      <c r="A44" s="48" t="s">
        <v>22</v>
      </c>
      <c r="B44" s="42">
        <v>2019</v>
      </c>
      <c r="C44" s="166"/>
      <c r="D44" s="166"/>
      <c r="E44" s="167"/>
      <c r="F44" s="167"/>
      <c r="G44" s="167"/>
      <c r="H44" s="168"/>
      <c r="I44" s="13">
        <v>951421027715</v>
      </c>
      <c r="J44" s="168"/>
      <c r="K44" s="168"/>
      <c r="L44" s="168"/>
      <c r="M44" s="168"/>
      <c r="N44" s="169"/>
      <c r="O44" s="169"/>
    </row>
    <row r="45" spans="1:15" ht="22.5" customHeight="1" x14ac:dyDescent="0.2">
      <c r="A45" s="53"/>
      <c r="B45" s="37">
        <v>2020</v>
      </c>
      <c r="C45" s="54">
        <v>4588731043660</v>
      </c>
      <c r="D45" s="54">
        <v>13782498930161</v>
      </c>
      <c r="E45" s="17">
        <v>18371229973821</v>
      </c>
      <c r="F45" s="29">
        <v>3270161549357</v>
      </c>
      <c r="G45" s="29">
        <v>8121131006426</v>
      </c>
      <c r="H45" s="30">
        <v>10250098967395</v>
      </c>
      <c r="I45" s="13">
        <v>451847230000</v>
      </c>
      <c r="J45" s="30">
        <v>15025170000</v>
      </c>
      <c r="K45" s="30">
        <v>14286230000</v>
      </c>
      <c r="L45" s="13">
        <v>-556301780000</v>
      </c>
      <c r="M45" s="13">
        <v>13359230656</v>
      </c>
      <c r="N45" s="31">
        <v>1997</v>
      </c>
      <c r="O45" s="31">
        <f t="shared" ref="O45:O49" si="7">B45-N45</f>
        <v>23</v>
      </c>
    </row>
    <row r="46" spans="1:15" ht="22.5" customHeight="1" x14ac:dyDescent="0.2">
      <c r="A46" s="48"/>
      <c r="B46" s="42">
        <v>2021</v>
      </c>
      <c r="C46" s="16">
        <v>4654627251261</v>
      </c>
      <c r="D46" s="16">
        <v>12000362086900</v>
      </c>
      <c r="E46" s="17">
        <v>16654989338161</v>
      </c>
      <c r="F46" s="17">
        <v>1642561395481</v>
      </c>
      <c r="G46" s="17">
        <v>6168939794466</v>
      </c>
      <c r="H46" s="13">
        <v>10486049543695</v>
      </c>
      <c r="I46" s="13">
        <v>910709348365</v>
      </c>
      <c r="J46" s="13">
        <v>378256500000</v>
      </c>
      <c r="K46" s="13">
        <v>68176080000</v>
      </c>
      <c r="L46" s="13">
        <v>229270350000</v>
      </c>
      <c r="M46" s="13">
        <v>11738934783</v>
      </c>
      <c r="N46" s="31">
        <v>1997</v>
      </c>
      <c r="O46" s="18">
        <f t="shared" si="7"/>
        <v>24</v>
      </c>
    </row>
    <row r="47" spans="1:15" ht="22.5" customHeight="1" x14ac:dyDescent="0.2">
      <c r="A47" s="48"/>
      <c r="B47" s="42">
        <v>2022</v>
      </c>
      <c r="C47" s="16">
        <v>4481703360284</v>
      </c>
      <c r="D47" s="20">
        <v>12240056903523</v>
      </c>
      <c r="E47" s="17">
        <v>16721760263807</v>
      </c>
      <c r="F47" s="17">
        <v>2216435731961</v>
      </c>
      <c r="G47" s="17">
        <v>6398549423657</v>
      </c>
      <c r="H47" s="13">
        <v>10323210840150</v>
      </c>
      <c r="I47" s="13">
        <v>672300266688</v>
      </c>
      <c r="J47" s="13">
        <v>257986080000</v>
      </c>
      <c r="K47" s="13">
        <v>13976050000</v>
      </c>
      <c r="L47" s="13">
        <v>-167082790000</v>
      </c>
      <c r="M47" s="13">
        <v>12643185166</v>
      </c>
      <c r="N47" s="31">
        <v>1997</v>
      </c>
      <c r="O47" s="18">
        <f t="shared" si="7"/>
        <v>25</v>
      </c>
    </row>
    <row r="48" spans="1:15" ht="22.5" customHeight="1" x14ac:dyDescent="0.2">
      <c r="A48" s="48"/>
      <c r="B48" s="42">
        <v>2023</v>
      </c>
      <c r="C48" s="16">
        <v>3574283102477</v>
      </c>
      <c r="D48" s="16">
        <v>16312594780943</v>
      </c>
      <c r="E48" s="17">
        <v>19886877883420</v>
      </c>
      <c r="F48" s="17">
        <v>3060809249354</v>
      </c>
      <c r="G48" s="17">
        <v>4745794622926</v>
      </c>
      <c r="H48" s="13">
        <v>15141083260494</v>
      </c>
      <c r="I48" s="13">
        <v>1720160600872</v>
      </c>
      <c r="J48" s="13">
        <v>469602950000</v>
      </c>
      <c r="K48" s="13">
        <v>40059370000</v>
      </c>
      <c r="L48" s="13">
        <v>317829464554</v>
      </c>
      <c r="M48" s="13">
        <v>16398255917</v>
      </c>
      <c r="N48" s="31">
        <v>1997</v>
      </c>
      <c r="O48" s="18">
        <f t="shared" si="7"/>
        <v>26</v>
      </c>
    </row>
    <row r="49" spans="1:15" ht="22.5" customHeight="1" x14ac:dyDescent="0.2">
      <c r="A49" s="49"/>
      <c r="B49" s="44">
        <v>2024</v>
      </c>
      <c r="C49" s="34">
        <v>3763083379410</v>
      </c>
      <c r="D49" s="34">
        <v>17425207125996</v>
      </c>
      <c r="E49" s="35">
        <v>21188290505406</v>
      </c>
      <c r="F49" s="35">
        <v>3984626865675</v>
      </c>
      <c r="G49" s="35">
        <v>6034270819491</v>
      </c>
      <c r="H49" s="24">
        <v>15154019685915</v>
      </c>
      <c r="I49" s="13">
        <v>744068396829</v>
      </c>
      <c r="J49" s="24">
        <v>36884590000</v>
      </c>
      <c r="K49" s="24">
        <v>17536690000</v>
      </c>
      <c r="L49" s="13">
        <v>13930180346</v>
      </c>
      <c r="M49" s="13">
        <v>17813232199</v>
      </c>
      <c r="N49" s="31">
        <v>1997</v>
      </c>
      <c r="O49" s="25">
        <f t="shared" si="7"/>
        <v>27</v>
      </c>
    </row>
    <row r="50" spans="1:15" ht="22.5" customHeight="1" x14ac:dyDescent="0.2">
      <c r="A50" s="48" t="s">
        <v>23</v>
      </c>
      <c r="B50" s="42">
        <v>2019</v>
      </c>
      <c r="C50" s="166"/>
      <c r="D50" s="166"/>
      <c r="E50" s="167"/>
      <c r="F50" s="167"/>
      <c r="G50" s="167"/>
      <c r="H50" s="168"/>
      <c r="I50" s="13">
        <v>7084864038574</v>
      </c>
      <c r="J50" s="168"/>
      <c r="K50" s="168"/>
      <c r="L50" s="168"/>
      <c r="M50" s="168"/>
      <c r="N50" s="169"/>
      <c r="O50" s="169"/>
    </row>
    <row r="51" spans="1:15" ht="22.5" customHeight="1" x14ac:dyDescent="0.2">
      <c r="A51" s="53"/>
      <c r="B51" s="37">
        <v>2020</v>
      </c>
      <c r="C51" s="54">
        <v>28364293488112</v>
      </c>
      <c r="D51" s="54">
        <v>32498633098638</v>
      </c>
      <c r="E51" s="17">
        <v>60862926586750</v>
      </c>
      <c r="F51" s="29">
        <v>11832682024655</v>
      </c>
      <c r="G51" s="29">
        <v>26391824110926</v>
      </c>
      <c r="H51" s="30">
        <v>34471102475824</v>
      </c>
      <c r="I51" s="13">
        <v>6180589086059</v>
      </c>
      <c r="J51" s="30">
        <v>1982267044153</v>
      </c>
      <c r="K51" s="30">
        <v>237822390000</v>
      </c>
      <c r="L51" s="13">
        <v>486257814158</v>
      </c>
      <c r="M51" s="13">
        <v>80057479432</v>
      </c>
      <c r="N51" s="31">
        <v>2008</v>
      </c>
      <c r="O51" s="31">
        <f t="shared" ref="O51:O55" si="8">B51-N51</f>
        <v>12</v>
      </c>
    </row>
    <row r="52" spans="1:15" ht="22.5" customHeight="1" x14ac:dyDescent="0.2">
      <c r="A52" s="48"/>
      <c r="B52" s="42">
        <v>2021</v>
      </c>
      <c r="C52" s="16">
        <v>28397757188620</v>
      </c>
      <c r="D52" s="16">
        <v>33071954977036</v>
      </c>
      <c r="E52" s="17">
        <v>61469712165656</v>
      </c>
      <c r="F52" s="17">
        <v>10967892740436</v>
      </c>
      <c r="G52" s="17">
        <v>25575995151814</v>
      </c>
      <c r="H52" s="13">
        <v>35893717013842</v>
      </c>
      <c r="I52" s="13">
        <v>7654802250986</v>
      </c>
      <c r="J52" s="13">
        <v>2392256860902</v>
      </c>
      <c r="K52" s="13">
        <v>245062320000</v>
      </c>
      <c r="L52" s="13">
        <v>1538840956173</v>
      </c>
      <c r="M52" s="13">
        <v>76663992052</v>
      </c>
      <c r="N52" s="31">
        <v>2008</v>
      </c>
      <c r="O52" s="18">
        <f t="shared" si="8"/>
        <v>13</v>
      </c>
    </row>
    <row r="53" spans="1:15" ht="22.5" customHeight="1" x14ac:dyDescent="0.2">
      <c r="A53" s="48"/>
      <c r="B53" s="42">
        <v>2022</v>
      </c>
      <c r="C53" s="16">
        <v>29586676145282</v>
      </c>
      <c r="D53" s="16">
        <v>35412727335505</v>
      </c>
      <c r="E53" s="17">
        <v>64999403480787</v>
      </c>
      <c r="F53" s="17">
        <v>11332854264009</v>
      </c>
      <c r="G53" s="17">
        <v>26953967352972</v>
      </c>
      <c r="H53" s="13">
        <v>38045436127815</v>
      </c>
      <c r="I53" s="13">
        <v>10235479955727</v>
      </c>
      <c r="J53" s="13">
        <v>3705009673794</v>
      </c>
      <c r="K53" s="13">
        <v>339110020000</v>
      </c>
      <c r="L53" s="13">
        <v>2656885590302</v>
      </c>
      <c r="M53" s="13">
        <v>74378557009</v>
      </c>
      <c r="N53" s="31">
        <v>2008</v>
      </c>
      <c r="O53" s="18">
        <f t="shared" si="8"/>
        <v>14</v>
      </c>
    </row>
    <row r="54" spans="1:15" ht="22.5" customHeight="1" x14ac:dyDescent="0.2">
      <c r="A54" s="48"/>
      <c r="B54" s="42">
        <v>2023</v>
      </c>
      <c r="C54" s="16">
        <v>29374818540867</v>
      </c>
      <c r="D54" s="16">
        <v>37452829945526</v>
      </c>
      <c r="E54" s="17">
        <v>66827648486393</v>
      </c>
      <c r="F54" s="17">
        <v>11897714398814</v>
      </c>
      <c r="G54" s="17">
        <v>25626062282715</v>
      </c>
      <c r="H54" s="13">
        <v>41201586203678</v>
      </c>
      <c r="I54" s="13">
        <v>11539141250155</v>
      </c>
      <c r="J54" s="13">
        <v>2910167966982</v>
      </c>
      <c r="K54" s="13">
        <v>398893450000</v>
      </c>
      <c r="L54" s="13">
        <v>2259456837723</v>
      </c>
      <c r="M54" s="13">
        <v>68779568996</v>
      </c>
      <c r="N54" s="31">
        <v>2008</v>
      </c>
      <c r="O54" s="18">
        <f t="shared" si="8"/>
        <v>15</v>
      </c>
    </row>
    <row r="55" spans="1:15" ht="22.5" customHeight="1" x14ac:dyDescent="0.2">
      <c r="A55" s="49"/>
      <c r="B55" s="44">
        <v>2024</v>
      </c>
      <c r="C55" s="34">
        <v>30896491642352</v>
      </c>
      <c r="D55" s="34">
        <v>45126857244494</v>
      </c>
      <c r="E55" s="35">
        <v>76023348886846</v>
      </c>
      <c r="F55" s="35">
        <v>14333486036630</v>
      </c>
      <c r="G55" s="35">
        <v>28704020732842</v>
      </c>
      <c r="H55" s="24">
        <v>47319328154004</v>
      </c>
      <c r="I55" s="13">
        <v>13796572148837</v>
      </c>
      <c r="J55" s="24">
        <v>4468905803578</v>
      </c>
      <c r="K55" s="24">
        <v>433154280000</v>
      </c>
      <c r="L55" s="13">
        <v>4917670536213</v>
      </c>
      <c r="M55" s="13">
        <v>86269755996</v>
      </c>
      <c r="N55" s="31">
        <v>2008</v>
      </c>
      <c r="O55" s="25">
        <f t="shared" si="8"/>
        <v>16</v>
      </c>
    </row>
    <row r="56" spans="1:15" ht="22.5" customHeight="1" x14ac:dyDescent="0.2">
      <c r="A56" s="48" t="s">
        <v>24</v>
      </c>
      <c r="B56" s="42">
        <v>2019</v>
      </c>
      <c r="C56" s="166"/>
      <c r="D56" s="166"/>
      <c r="E56" s="167"/>
      <c r="F56" s="167"/>
      <c r="G56" s="167"/>
      <c r="H56" s="168"/>
      <c r="I56" s="13">
        <v>7608237000000</v>
      </c>
      <c r="J56" s="168"/>
      <c r="K56" s="168"/>
      <c r="L56" s="168"/>
      <c r="M56" s="168"/>
      <c r="N56" s="169"/>
      <c r="O56" s="169"/>
    </row>
    <row r="57" spans="1:15" ht="22.5" customHeight="1" x14ac:dyDescent="0.2">
      <c r="A57" s="48"/>
      <c r="B57" s="37">
        <v>2020</v>
      </c>
      <c r="C57" s="16">
        <v>20645596000000</v>
      </c>
      <c r="D57" s="16">
        <v>18609591000000</v>
      </c>
      <c r="E57" s="17">
        <v>39255187000000</v>
      </c>
      <c r="F57" s="17">
        <v>11609414000000</v>
      </c>
      <c r="G57" s="17">
        <v>21797659000000</v>
      </c>
      <c r="H57" s="13">
        <v>17457528000000</v>
      </c>
      <c r="I57" s="13">
        <v>8070737000000</v>
      </c>
      <c r="J57" s="13">
        <v>2648089000000</v>
      </c>
      <c r="K57" s="13">
        <v>288435000000</v>
      </c>
      <c r="L57" s="13">
        <v>1370686000000</v>
      </c>
      <c r="M57" s="13">
        <v>162624000000</v>
      </c>
      <c r="N57" s="18">
        <v>1994</v>
      </c>
      <c r="O57" s="18">
        <f t="shared" ref="O57:O61" si="9">B57-N57</f>
        <v>26</v>
      </c>
    </row>
    <row r="58" spans="1:15" ht="22.5" customHeight="1" x14ac:dyDescent="0.2">
      <c r="A58" s="48"/>
      <c r="B58" s="42">
        <v>2021</v>
      </c>
      <c r="C58" s="16">
        <v>21916840000000</v>
      </c>
      <c r="D58" s="16">
        <v>18751571000000</v>
      </c>
      <c r="E58" s="17">
        <v>40668411000000</v>
      </c>
      <c r="F58" s="17">
        <v>10963375000000</v>
      </c>
      <c r="G58" s="17">
        <v>21274214000000</v>
      </c>
      <c r="H58" s="13">
        <v>19394197000000</v>
      </c>
      <c r="I58" s="13">
        <v>9729651000000</v>
      </c>
      <c r="J58" s="13">
        <v>3367683000000</v>
      </c>
      <c r="K58" s="13">
        <v>308998000000</v>
      </c>
      <c r="L58" s="13">
        <v>2087716000000</v>
      </c>
      <c r="M58" s="13">
        <v>162888000000</v>
      </c>
      <c r="N58" s="18">
        <v>1994</v>
      </c>
      <c r="O58" s="18">
        <f t="shared" si="9"/>
        <v>27</v>
      </c>
    </row>
    <row r="59" spans="1:15" ht="22.5" customHeight="1" x14ac:dyDescent="0.2">
      <c r="A59" s="48"/>
      <c r="B59" s="42">
        <v>2022</v>
      </c>
      <c r="C59" s="16">
        <v>23733907000000</v>
      </c>
      <c r="D59" s="16">
        <v>18298708000000</v>
      </c>
      <c r="E59" s="17">
        <v>42032615000000</v>
      </c>
      <c r="F59" s="17">
        <v>10809037000000</v>
      </c>
      <c r="G59" s="17">
        <v>21017685000000</v>
      </c>
      <c r="H59" s="13">
        <v>21014930000000</v>
      </c>
      <c r="I59" s="13">
        <v>9126799000000</v>
      </c>
      <c r="J59" s="13">
        <v>3062626000000</v>
      </c>
      <c r="K59" s="13">
        <v>306545000000</v>
      </c>
      <c r="L59" s="13">
        <v>2002076000000</v>
      </c>
      <c r="M59" s="13">
        <v>166649000000</v>
      </c>
      <c r="N59" s="18">
        <v>1994</v>
      </c>
      <c r="O59" s="18">
        <f t="shared" si="9"/>
        <v>28</v>
      </c>
    </row>
    <row r="60" spans="1:15" ht="22.5" customHeight="1" x14ac:dyDescent="0.2">
      <c r="A60" s="48"/>
      <c r="B60" s="42">
        <v>2023</v>
      </c>
      <c r="C60" s="16">
        <v>25747833000000</v>
      </c>
      <c r="D60" s="16">
        <v>18367382000000</v>
      </c>
      <c r="E60" s="17">
        <v>44115215000000</v>
      </c>
      <c r="F60" s="17">
        <v>10625396000000</v>
      </c>
      <c r="G60" s="17">
        <v>21490499000000</v>
      </c>
      <c r="H60" s="13">
        <v>22624716000000</v>
      </c>
      <c r="I60" s="13">
        <v>9245032000000</v>
      </c>
      <c r="J60" s="13">
        <v>2951424000000</v>
      </c>
      <c r="K60" s="13">
        <v>306744000000</v>
      </c>
      <c r="L60" s="13">
        <v>1909025000000</v>
      </c>
      <c r="M60" s="13">
        <v>181091000000</v>
      </c>
      <c r="N60" s="18">
        <v>1994</v>
      </c>
      <c r="O60" s="18">
        <f t="shared" si="9"/>
        <v>29</v>
      </c>
    </row>
    <row r="61" spans="1:15" ht="22.5" customHeight="1" x14ac:dyDescent="0.2">
      <c r="A61" s="49"/>
      <c r="B61" s="44">
        <v>2024</v>
      </c>
      <c r="C61" s="34">
        <v>26429775000000</v>
      </c>
      <c r="D61" s="34">
        <v>20592927000000</v>
      </c>
      <c r="E61" s="35">
        <v>47022702000000</v>
      </c>
      <c r="F61" s="35">
        <v>13308121000000</v>
      </c>
      <c r="G61" s="35">
        <v>22407372000000</v>
      </c>
      <c r="H61" s="24">
        <v>24615330000000</v>
      </c>
      <c r="I61" s="13">
        <v>11187565000000</v>
      </c>
      <c r="J61" s="24">
        <v>3447050000000</v>
      </c>
      <c r="K61" s="24">
        <v>377753000000</v>
      </c>
      <c r="L61" s="13">
        <v>2327968000000</v>
      </c>
      <c r="M61" s="13">
        <v>202014000000</v>
      </c>
      <c r="N61" s="18">
        <v>1994</v>
      </c>
      <c r="O61" s="25">
        <f t="shared" si="9"/>
        <v>30</v>
      </c>
    </row>
    <row r="62" spans="1:15" ht="22.5" customHeight="1" x14ac:dyDescent="0.2">
      <c r="A62" s="48" t="s">
        <v>25</v>
      </c>
      <c r="B62" s="42">
        <v>2019</v>
      </c>
      <c r="C62" s="168"/>
      <c r="D62" s="168"/>
      <c r="E62" s="168"/>
      <c r="F62" s="168"/>
      <c r="G62" s="169"/>
      <c r="H62" s="169"/>
      <c r="I62" s="13">
        <v>461440807000</v>
      </c>
      <c r="J62" s="168"/>
      <c r="K62" s="168"/>
      <c r="L62" s="168"/>
      <c r="M62" s="168"/>
      <c r="N62" s="169"/>
      <c r="O62" s="169"/>
    </row>
    <row r="63" spans="1:15" ht="22.5" customHeight="1" x14ac:dyDescent="0.2">
      <c r="A63" s="48"/>
      <c r="B63" s="37">
        <v>2020</v>
      </c>
      <c r="C63" s="57">
        <v>182368717000</v>
      </c>
      <c r="D63" s="57">
        <v>6473752265000</v>
      </c>
      <c r="E63" s="17">
        <v>6656120982000</v>
      </c>
      <c r="F63" s="58">
        <v>609340883000</v>
      </c>
      <c r="G63" s="17">
        <v>3742012201000</v>
      </c>
      <c r="H63" s="13">
        <v>2914108781000</v>
      </c>
      <c r="I63" s="13">
        <v>324131001000</v>
      </c>
      <c r="J63" s="13">
        <v>-62711200000</v>
      </c>
      <c r="K63" s="59">
        <v>6151370000</v>
      </c>
      <c r="L63" s="13">
        <v>-400173079000</v>
      </c>
      <c r="M63" s="13">
        <v>69466097000</v>
      </c>
      <c r="N63" s="25">
        <v>1990</v>
      </c>
      <c r="O63" s="60">
        <f t="shared" ref="O63:O67" si="10">B63-N63</f>
        <v>30</v>
      </c>
    </row>
    <row r="64" spans="1:15" ht="22.5" customHeight="1" x14ac:dyDescent="0.2">
      <c r="A64" s="48"/>
      <c r="B64" s="42">
        <v>2021</v>
      </c>
      <c r="C64" s="57">
        <v>188892861000</v>
      </c>
      <c r="D64" s="57">
        <v>6415141729000</v>
      </c>
      <c r="E64" s="17">
        <v>6604034590000</v>
      </c>
      <c r="F64" s="58">
        <v>1287069124000</v>
      </c>
      <c r="G64" s="17">
        <v>4100747128000</v>
      </c>
      <c r="H64" s="13">
        <v>2503287462000</v>
      </c>
      <c r="I64" s="13">
        <v>290570233000</v>
      </c>
      <c r="J64" s="13">
        <v>-67145770000</v>
      </c>
      <c r="K64" s="59">
        <v>2482250000</v>
      </c>
      <c r="L64" s="13">
        <v>-411222141000</v>
      </c>
      <c r="M64" s="13">
        <v>63306637000</v>
      </c>
      <c r="N64" s="25">
        <v>1990</v>
      </c>
      <c r="O64" s="60">
        <f t="shared" si="10"/>
        <v>31</v>
      </c>
    </row>
    <row r="65" spans="1:15" ht="22.5" customHeight="1" x14ac:dyDescent="0.2">
      <c r="A65" s="48"/>
      <c r="B65" s="42">
        <v>2022</v>
      </c>
      <c r="C65" s="57">
        <v>142287400000</v>
      </c>
      <c r="D65" s="57">
        <v>6320392697000</v>
      </c>
      <c r="E65" s="17">
        <v>6462680097000</v>
      </c>
      <c r="F65" s="58">
        <v>995858912000</v>
      </c>
      <c r="G65" s="17">
        <v>4380333825000</v>
      </c>
      <c r="H65" s="13">
        <v>2082346272000</v>
      </c>
      <c r="I65" s="13">
        <v>330155372000</v>
      </c>
      <c r="J65" s="13">
        <v>-40981017000</v>
      </c>
      <c r="K65" s="59">
        <v>15753100000</v>
      </c>
      <c r="L65" s="13">
        <v>-421159213000</v>
      </c>
      <c r="M65" s="13">
        <v>59149463000</v>
      </c>
      <c r="N65" s="25">
        <v>1990</v>
      </c>
      <c r="O65" s="60">
        <f t="shared" si="10"/>
        <v>32</v>
      </c>
    </row>
    <row r="66" spans="1:15" ht="22.5" customHeight="1" x14ac:dyDescent="0.2">
      <c r="A66" s="48"/>
      <c r="B66" s="42">
        <v>2023</v>
      </c>
      <c r="C66" s="57">
        <v>124122818000</v>
      </c>
      <c r="D66" s="57">
        <v>6192846818000</v>
      </c>
      <c r="E66" s="17">
        <v>6316969636000</v>
      </c>
      <c r="F66" s="58">
        <v>823597854000</v>
      </c>
      <c r="G66" s="17">
        <v>4578440529000</v>
      </c>
      <c r="H66" s="13">
        <v>1738529107000</v>
      </c>
      <c r="I66" s="13">
        <v>433200487000</v>
      </c>
      <c r="J66" s="13">
        <v>28520691000</v>
      </c>
      <c r="K66" s="59">
        <v>31741970000</v>
      </c>
      <c r="L66" s="13">
        <v>-343797532000</v>
      </c>
      <c r="M66" s="13">
        <v>53737952000</v>
      </c>
      <c r="N66" s="25">
        <v>1990</v>
      </c>
      <c r="O66" s="60">
        <f t="shared" si="10"/>
        <v>33</v>
      </c>
    </row>
    <row r="67" spans="1:15" ht="22.5" customHeight="1" x14ac:dyDescent="0.2">
      <c r="A67" s="49"/>
      <c r="B67" s="44">
        <v>2024</v>
      </c>
      <c r="C67" s="61">
        <v>131682599000</v>
      </c>
      <c r="D67" s="45">
        <v>6076998917000</v>
      </c>
      <c r="E67" s="35">
        <v>6208681516000</v>
      </c>
      <c r="F67" s="62">
        <v>1310521180000</v>
      </c>
      <c r="G67" s="35">
        <v>4766522099000</v>
      </c>
      <c r="H67" s="24">
        <v>1442159417000</v>
      </c>
      <c r="I67" s="13">
        <v>511558731000</v>
      </c>
      <c r="J67" s="13">
        <v>64336243000</v>
      </c>
      <c r="K67" s="46">
        <v>34380170000</v>
      </c>
      <c r="L67" s="13">
        <v>-296801679000</v>
      </c>
      <c r="M67" s="13">
        <v>55270295000</v>
      </c>
      <c r="N67" s="25">
        <v>1990</v>
      </c>
      <c r="O67" s="56">
        <f t="shared" si="10"/>
        <v>34</v>
      </c>
    </row>
    <row r="68" spans="1:15" ht="22.5" customHeight="1" x14ac:dyDescent="0.2">
      <c r="A68" s="48" t="s">
        <v>26</v>
      </c>
      <c r="B68" s="42">
        <v>2019</v>
      </c>
      <c r="C68" s="168"/>
      <c r="D68" s="168"/>
      <c r="E68" s="168"/>
      <c r="F68" s="168"/>
      <c r="G68" s="169"/>
      <c r="H68" s="169"/>
      <c r="I68" s="13">
        <v>2736388551409</v>
      </c>
      <c r="J68" s="168"/>
      <c r="K68" s="168"/>
      <c r="L68" s="168"/>
      <c r="M68" s="168"/>
      <c r="N68" s="169"/>
      <c r="O68" s="169"/>
    </row>
    <row r="69" spans="1:15" ht="22.5" customHeight="1" x14ac:dyDescent="0.2">
      <c r="A69" s="48"/>
      <c r="B69" s="37">
        <v>2020</v>
      </c>
      <c r="C69" s="67">
        <v>4517663051391</v>
      </c>
      <c r="D69" s="67">
        <v>11181935824947</v>
      </c>
      <c r="E69" s="17">
        <v>15699598876338</v>
      </c>
      <c r="F69" s="68">
        <v>4367599682705</v>
      </c>
      <c r="G69" s="17">
        <v>9632497842455</v>
      </c>
      <c r="H69" s="13">
        <v>6067101033883</v>
      </c>
      <c r="I69" s="13">
        <v>2891388396351</v>
      </c>
      <c r="J69" s="65">
        <v>778389793916</v>
      </c>
      <c r="K69" s="59">
        <v>51053710000</v>
      </c>
      <c r="L69" s="13">
        <v>68962241069</v>
      </c>
      <c r="M69" s="13">
        <v>34288440722</v>
      </c>
      <c r="N69" s="18">
        <v>1991</v>
      </c>
      <c r="O69" s="60">
        <f t="shared" ref="O69:O73" si="11">B69-N69</f>
        <v>29</v>
      </c>
    </row>
    <row r="70" spans="1:15" ht="22.5" customHeight="1" x14ac:dyDescent="0.2">
      <c r="A70" s="48"/>
      <c r="B70" s="42">
        <v>2021</v>
      </c>
      <c r="C70" s="67">
        <v>6668818368239</v>
      </c>
      <c r="D70" s="67">
        <v>9791186459388</v>
      </c>
      <c r="E70" s="17">
        <v>16460004827627</v>
      </c>
      <c r="F70" s="68">
        <v>6489247592873</v>
      </c>
      <c r="G70" s="17">
        <v>10412628100009</v>
      </c>
      <c r="H70" s="13">
        <v>6047376727618</v>
      </c>
      <c r="I70" s="13">
        <v>2628631841339</v>
      </c>
      <c r="J70" s="65">
        <v>667006883515</v>
      </c>
      <c r="K70" s="59">
        <v>81877370000</v>
      </c>
      <c r="L70" s="13">
        <v>-29065195094</v>
      </c>
      <c r="M70" s="13">
        <v>34290741240</v>
      </c>
      <c r="N70" s="18">
        <v>1991</v>
      </c>
      <c r="O70" s="60">
        <f t="shared" si="11"/>
        <v>30</v>
      </c>
    </row>
    <row r="71" spans="1:15" ht="22.5" customHeight="1" x14ac:dyDescent="0.2">
      <c r="A71" s="48"/>
      <c r="B71" s="42">
        <v>2022</v>
      </c>
      <c r="C71" s="67">
        <v>6459625889455</v>
      </c>
      <c r="D71" s="67">
        <v>9892222488551</v>
      </c>
      <c r="E71" s="17">
        <v>16351848378006</v>
      </c>
      <c r="F71" s="68">
        <v>6191313428086</v>
      </c>
      <c r="G71" s="17">
        <v>10136195422586</v>
      </c>
      <c r="H71" s="13">
        <v>6215652955420</v>
      </c>
      <c r="I71" s="13">
        <v>3148754966275</v>
      </c>
      <c r="J71" s="65">
        <v>969226314682</v>
      </c>
      <c r="K71" s="59">
        <v>67194310000</v>
      </c>
      <c r="L71" s="13">
        <v>191967902267</v>
      </c>
      <c r="M71" s="13">
        <v>29646824123</v>
      </c>
      <c r="N71" s="18">
        <v>1991</v>
      </c>
      <c r="O71" s="60">
        <f t="shared" si="11"/>
        <v>31</v>
      </c>
    </row>
    <row r="72" spans="1:15" ht="22.5" customHeight="1" x14ac:dyDescent="0.2">
      <c r="A72" s="48"/>
      <c r="B72" s="42">
        <v>2023</v>
      </c>
      <c r="C72" s="67">
        <v>4734769827971</v>
      </c>
      <c r="D72" s="67">
        <v>9869138315221</v>
      </c>
      <c r="E72" s="17">
        <v>14603908143192</v>
      </c>
      <c r="F72" s="68">
        <v>4152716613776</v>
      </c>
      <c r="G72" s="17">
        <v>8064726715168</v>
      </c>
      <c r="H72" s="13">
        <v>6539181428024</v>
      </c>
      <c r="I72" s="13">
        <v>3906826399192</v>
      </c>
      <c r="J72" s="65">
        <v>1270469130996</v>
      </c>
      <c r="K72" s="59">
        <v>95867130000</v>
      </c>
      <c r="L72" s="13">
        <v>758028371346</v>
      </c>
      <c r="M72" s="13">
        <v>32479550122</v>
      </c>
      <c r="N72" s="18">
        <v>1991</v>
      </c>
      <c r="O72" s="60">
        <f t="shared" si="11"/>
        <v>32</v>
      </c>
    </row>
    <row r="73" spans="1:15" ht="22.5" customHeight="1" x14ac:dyDescent="0.2">
      <c r="A73" s="49"/>
      <c r="B73" s="44">
        <v>2024</v>
      </c>
      <c r="C73" s="61">
        <v>3870567366297</v>
      </c>
      <c r="D73" s="61">
        <v>9832985714600</v>
      </c>
      <c r="E73" s="35">
        <v>13703553080897</v>
      </c>
      <c r="F73" s="62">
        <v>3583108192834</v>
      </c>
      <c r="G73" s="35">
        <v>6956640610515</v>
      </c>
      <c r="H73" s="24">
        <v>6746912470382</v>
      </c>
      <c r="I73" s="13">
        <v>2553285289717</v>
      </c>
      <c r="J73" s="69">
        <v>454231193690</v>
      </c>
      <c r="K73" s="46">
        <v>143234270000</v>
      </c>
      <c r="L73" s="13">
        <v>263851731055</v>
      </c>
      <c r="M73" s="13">
        <v>35930484629</v>
      </c>
      <c r="N73" s="18">
        <v>1991</v>
      </c>
      <c r="O73" s="56">
        <f t="shared" si="11"/>
        <v>33</v>
      </c>
    </row>
    <row r="74" spans="1:15" ht="22.5" customHeight="1" x14ac:dyDescent="0.2">
      <c r="A74" s="48" t="s">
        <v>27</v>
      </c>
      <c r="B74" s="42">
        <v>2019</v>
      </c>
      <c r="C74" s="168"/>
      <c r="D74" s="168"/>
      <c r="E74" s="168"/>
      <c r="F74" s="168"/>
      <c r="G74" s="169"/>
      <c r="H74" s="169"/>
      <c r="I74" s="13">
        <v>2459812402375</v>
      </c>
      <c r="J74" s="168"/>
      <c r="K74" s="168"/>
      <c r="L74" s="168"/>
      <c r="M74" s="168"/>
      <c r="N74" s="169"/>
      <c r="O74" s="169"/>
    </row>
    <row r="75" spans="1:15" ht="22.5" customHeight="1" x14ac:dyDescent="0.2">
      <c r="A75" s="48"/>
      <c r="B75" s="37">
        <v>2020</v>
      </c>
      <c r="C75" s="70">
        <v>6073854519139</v>
      </c>
      <c r="D75" s="70">
        <v>7679770219746</v>
      </c>
      <c r="E75" s="17">
        <v>13753624738885</v>
      </c>
      <c r="F75" s="68">
        <v>1900303058105</v>
      </c>
      <c r="G75" s="17">
        <v>3423402804653</v>
      </c>
      <c r="H75" s="13">
        <v>10330221934232</v>
      </c>
      <c r="I75" s="13">
        <v>1724797535246</v>
      </c>
      <c r="J75" s="13">
        <v>580717124644</v>
      </c>
      <c r="K75" s="39">
        <v>87393230000</v>
      </c>
      <c r="L75" s="13">
        <v>638427373273</v>
      </c>
      <c r="M75" s="13">
        <v>34913620416</v>
      </c>
      <c r="N75" s="18">
        <v>1994</v>
      </c>
      <c r="O75" s="40">
        <f t="shared" ref="O75:O79" si="12">B75-N75</f>
        <v>26</v>
      </c>
    </row>
    <row r="76" spans="1:15" ht="22.5" customHeight="1" x14ac:dyDescent="0.2">
      <c r="A76" s="48"/>
      <c r="B76" s="42">
        <v>2021</v>
      </c>
      <c r="C76" s="70">
        <v>7924474668931</v>
      </c>
      <c r="D76" s="70">
        <v>7384448778848</v>
      </c>
      <c r="E76" s="17">
        <v>15308923447779</v>
      </c>
      <c r="F76" s="68">
        <v>2425833181007</v>
      </c>
      <c r="G76" s="17">
        <v>4347434120813</v>
      </c>
      <c r="H76" s="13">
        <v>10961489326966</v>
      </c>
      <c r="I76" s="13">
        <v>2177783404033</v>
      </c>
      <c r="J76" s="13">
        <v>622712848130</v>
      </c>
      <c r="K76" s="39">
        <v>94041170000</v>
      </c>
      <c r="L76" s="13">
        <v>730113120884</v>
      </c>
      <c r="M76" s="13">
        <v>33410387111</v>
      </c>
      <c r="N76" s="18">
        <v>1994</v>
      </c>
      <c r="O76" s="40">
        <f t="shared" si="12"/>
        <v>27</v>
      </c>
    </row>
    <row r="77" spans="1:15" ht="22.5" customHeight="1" x14ac:dyDescent="0.2">
      <c r="A77" s="48"/>
      <c r="B77" s="42">
        <v>2022</v>
      </c>
      <c r="C77" s="70">
        <v>8165460067447</v>
      </c>
      <c r="D77" s="70">
        <v>7420718026514</v>
      </c>
      <c r="E77" s="17">
        <v>15586178093961</v>
      </c>
      <c r="F77" s="68">
        <v>3354912498892</v>
      </c>
      <c r="G77" s="17">
        <v>4659937738573</v>
      </c>
      <c r="H77" s="13">
        <v>10926240355388</v>
      </c>
      <c r="I77" s="13">
        <v>3017085551871</v>
      </c>
      <c r="J77" s="13">
        <v>979498820790</v>
      </c>
      <c r="K77" s="39">
        <v>124077760000</v>
      </c>
      <c r="L77" s="13">
        <v>846697244502</v>
      </c>
      <c r="M77" s="13">
        <v>31481698545</v>
      </c>
      <c r="N77" s="18">
        <v>1994</v>
      </c>
      <c r="O77" s="40">
        <f t="shared" si="12"/>
        <v>28</v>
      </c>
    </row>
    <row r="78" spans="1:15" ht="22.5" customHeight="1" x14ac:dyDescent="0.2">
      <c r="A78" s="48"/>
      <c r="B78" s="42">
        <v>2023</v>
      </c>
      <c r="C78" s="70">
        <v>7632827881245</v>
      </c>
      <c r="D78" s="70">
        <v>7498661115021</v>
      </c>
      <c r="E78" s="17">
        <v>15131488996266</v>
      </c>
      <c r="F78" s="68">
        <v>2827910894867</v>
      </c>
      <c r="G78" s="17">
        <v>3670601789706</v>
      </c>
      <c r="H78" s="13">
        <v>11460887206560</v>
      </c>
      <c r="I78" s="13">
        <v>3862424155689</v>
      </c>
      <c r="J78" s="13">
        <v>1192461178136</v>
      </c>
      <c r="K78" s="39">
        <v>164122010000</v>
      </c>
      <c r="L78" s="13">
        <v>1285261384857</v>
      </c>
      <c r="M78" s="13">
        <v>21292381730</v>
      </c>
      <c r="N78" s="18">
        <v>1994</v>
      </c>
      <c r="O78" s="40">
        <f t="shared" si="12"/>
        <v>29</v>
      </c>
    </row>
    <row r="79" spans="1:15" ht="22.5" customHeight="1" x14ac:dyDescent="0.2">
      <c r="A79" s="49"/>
      <c r="B79" s="44">
        <v>2024</v>
      </c>
      <c r="C79" s="61">
        <v>6697226908253</v>
      </c>
      <c r="D79" s="61">
        <v>7665170312298</v>
      </c>
      <c r="E79" s="35">
        <v>14362397220551</v>
      </c>
      <c r="F79" s="62">
        <v>1713363508919</v>
      </c>
      <c r="G79" s="35">
        <v>2494632246246</v>
      </c>
      <c r="H79" s="24">
        <v>11867764974305</v>
      </c>
      <c r="I79" s="13">
        <v>4422682660248</v>
      </c>
      <c r="J79" s="24">
        <v>1358967544305</v>
      </c>
      <c r="K79" s="46">
        <v>155787970000</v>
      </c>
      <c r="L79" s="13">
        <v>1375531266335</v>
      </c>
      <c r="M79" s="13">
        <v>21766164487</v>
      </c>
      <c r="N79" s="18">
        <v>1994</v>
      </c>
      <c r="O79" s="56">
        <f t="shared" si="12"/>
        <v>30</v>
      </c>
    </row>
    <row r="80" spans="1:15" ht="22.5" customHeight="1" x14ac:dyDescent="0.2">
      <c r="A80" s="48" t="s">
        <v>28</v>
      </c>
      <c r="B80" s="42">
        <v>2019</v>
      </c>
      <c r="C80" s="168"/>
      <c r="D80" s="168"/>
      <c r="E80" s="168"/>
      <c r="F80" s="168"/>
      <c r="G80" s="169"/>
      <c r="H80" s="169"/>
      <c r="I80" s="13">
        <v>977548000000</v>
      </c>
      <c r="J80" s="168"/>
      <c r="K80" s="168"/>
      <c r="L80" s="168"/>
      <c r="M80" s="168"/>
      <c r="N80" s="169"/>
      <c r="O80" s="169"/>
    </row>
    <row r="81" spans="1:15" ht="22.5" customHeight="1" x14ac:dyDescent="0.2">
      <c r="A81" s="48"/>
      <c r="B81" s="37">
        <v>2020</v>
      </c>
      <c r="C81" s="70">
        <v>2702974000000</v>
      </c>
      <c r="D81" s="70">
        <v>9120462000000</v>
      </c>
      <c r="E81" s="17">
        <v>11823436000000</v>
      </c>
      <c r="F81" s="68">
        <v>2481549000000</v>
      </c>
      <c r="G81" s="17">
        <v>3387644000000</v>
      </c>
      <c r="H81" s="13">
        <v>8435792000000</v>
      </c>
      <c r="I81" s="13">
        <v>616211000000</v>
      </c>
      <c r="J81" s="13">
        <v>-200618000000</v>
      </c>
      <c r="K81" s="39">
        <v>9264000000</v>
      </c>
      <c r="L81" s="13">
        <v>-326358000000</v>
      </c>
      <c r="M81" s="13">
        <v>101424000000</v>
      </c>
      <c r="N81" s="18">
        <v>1995</v>
      </c>
      <c r="O81" s="40">
        <f t="shared" ref="O81:O85" si="13">B81-N81</f>
        <v>25</v>
      </c>
    </row>
    <row r="82" spans="1:15" ht="22.5" customHeight="1" x14ac:dyDescent="0.2">
      <c r="A82" s="48"/>
      <c r="B82" s="42">
        <v>2021</v>
      </c>
      <c r="C82" s="70">
        <v>2742719000000</v>
      </c>
      <c r="D82" s="70">
        <v>8938484000000</v>
      </c>
      <c r="E82" s="17">
        <v>11681203000000</v>
      </c>
      <c r="F82" s="68">
        <v>2666128000000</v>
      </c>
      <c r="G82" s="17">
        <v>3533568000000</v>
      </c>
      <c r="H82" s="13">
        <v>8147635000000</v>
      </c>
      <c r="I82" s="13">
        <v>784410000000</v>
      </c>
      <c r="J82" s="13">
        <v>-116294000000</v>
      </c>
      <c r="K82" s="39">
        <v>16253000000</v>
      </c>
      <c r="L82" s="13">
        <v>-273529000000</v>
      </c>
      <c r="M82" s="13">
        <v>100341000000</v>
      </c>
      <c r="N82" s="18">
        <v>1995</v>
      </c>
      <c r="O82" s="40">
        <f t="shared" si="13"/>
        <v>26</v>
      </c>
    </row>
    <row r="83" spans="1:15" ht="22.5" customHeight="1" x14ac:dyDescent="0.2">
      <c r="A83" s="48"/>
      <c r="B83" s="42">
        <v>2022</v>
      </c>
      <c r="C83" s="70">
        <v>2667546000000</v>
      </c>
      <c r="D83" s="70">
        <v>7245913000000</v>
      </c>
      <c r="E83" s="17">
        <v>9913459000000</v>
      </c>
      <c r="F83" s="68">
        <v>2116886000000</v>
      </c>
      <c r="G83" s="17">
        <v>2671612000000</v>
      </c>
      <c r="H83" s="13">
        <v>7241847000000</v>
      </c>
      <c r="I83" s="13">
        <v>1027232000000</v>
      </c>
      <c r="J83" s="13">
        <v>-17950000000</v>
      </c>
      <c r="K83" s="39">
        <v>14935000000</v>
      </c>
      <c r="L83" s="13">
        <v>-789619000000</v>
      </c>
      <c r="M83" s="13">
        <v>94981000000</v>
      </c>
      <c r="N83" s="18">
        <v>1995</v>
      </c>
      <c r="O83" s="40">
        <f t="shared" si="13"/>
        <v>27</v>
      </c>
    </row>
    <row r="84" spans="1:15" ht="22.5" customHeight="1" x14ac:dyDescent="0.2">
      <c r="A84" s="48"/>
      <c r="B84" s="42">
        <v>2023</v>
      </c>
      <c r="C84" s="70">
        <v>2431035000000</v>
      </c>
      <c r="D84" s="70">
        <v>6208018000000</v>
      </c>
      <c r="E84" s="17">
        <v>8639053000000</v>
      </c>
      <c r="F84" s="68">
        <v>2002507000000</v>
      </c>
      <c r="G84" s="17">
        <v>2507808000000</v>
      </c>
      <c r="H84" s="13">
        <v>6131245000000</v>
      </c>
      <c r="I84" s="13">
        <v>1273390000000</v>
      </c>
      <c r="J84" s="13">
        <v>-183152000000</v>
      </c>
      <c r="K84" s="39">
        <v>21337000000</v>
      </c>
      <c r="L84" s="13">
        <v>-1122557000000</v>
      </c>
      <c r="M84" s="13">
        <v>60834000000</v>
      </c>
      <c r="N84" s="18">
        <v>1995</v>
      </c>
      <c r="O84" s="40">
        <f t="shared" si="13"/>
        <v>28</v>
      </c>
    </row>
    <row r="85" spans="1:15" ht="22.5" customHeight="1" x14ac:dyDescent="0.2">
      <c r="A85" s="49"/>
      <c r="B85" s="44">
        <v>2024</v>
      </c>
      <c r="C85" s="61">
        <v>1621212000000</v>
      </c>
      <c r="D85" s="61">
        <v>7120805000000</v>
      </c>
      <c r="E85" s="35">
        <v>8742017000000</v>
      </c>
      <c r="F85" s="62">
        <v>1818658000000</v>
      </c>
      <c r="G85" s="35">
        <v>2717802000000</v>
      </c>
      <c r="H85" s="24">
        <v>6024215000000</v>
      </c>
      <c r="I85" s="13">
        <v>1226740000000</v>
      </c>
      <c r="J85" s="24">
        <v>56045000000</v>
      </c>
      <c r="K85" s="46">
        <v>18696000000</v>
      </c>
      <c r="L85" s="13">
        <v>-101948000000</v>
      </c>
      <c r="M85" s="13">
        <v>66496000000</v>
      </c>
      <c r="N85" s="18">
        <v>1995</v>
      </c>
      <c r="O85" s="56">
        <f t="shared" si="13"/>
        <v>29</v>
      </c>
    </row>
    <row r="86" spans="1:15" ht="22.5" customHeight="1" x14ac:dyDescent="0.2">
      <c r="A86" s="48" t="s">
        <v>29</v>
      </c>
      <c r="B86" s="42">
        <v>2019</v>
      </c>
      <c r="C86" s="168"/>
      <c r="D86" s="168"/>
      <c r="E86" s="168"/>
      <c r="F86" s="168"/>
      <c r="G86" s="169"/>
      <c r="H86" s="169"/>
      <c r="I86" s="13">
        <v>165189625230</v>
      </c>
      <c r="J86" s="168"/>
      <c r="K86" s="168"/>
      <c r="L86" s="168"/>
      <c r="M86" s="168"/>
      <c r="N86" s="169"/>
      <c r="O86" s="169"/>
    </row>
    <row r="87" spans="1:15" ht="22.5" customHeight="1" x14ac:dyDescent="0.2">
      <c r="A87" s="48"/>
      <c r="B87" s="37">
        <v>2020</v>
      </c>
      <c r="C87" s="70">
        <v>1851347307718</v>
      </c>
      <c r="D87" s="70">
        <v>602706965777</v>
      </c>
      <c r="E87" s="17">
        <v>2454054273495</v>
      </c>
      <c r="F87" s="68">
        <v>887763447554</v>
      </c>
      <c r="G87" s="17">
        <v>1905692754656</v>
      </c>
      <c r="H87" s="13">
        <v>548361518839</v>
      </c>
      <c r="I87" s="13">
        <v>85684403962</v>
      </c>
      <c r="J87" s="13">
        <v>-33457540000</v>
      </c>
      <c r="K87" s="39">
        <v>5009960000</v>
      </c>
      <c r="L87" s="13">
        <v>-56617681066</v>
      </c>
      <c r="M87" s="13">
        <v>2773875230</v>
      </c>
      <c r="N87" s="18">
        <v>2011</v>
      </c>
      <c r="O87" s="40">
        <f t="shared" ref="O87:O91" si="14">B87-N87</f>
        <v>9</v>
      </c>
    </row>
    <row r="88" spans="1:15" ht="22.5" customHeight="1" x14ac:dyDescent="0.2">
      <c r="A88" s="48"/>
      <c r="B88" s="42">
        <v>2021</v>
      </c>
      <c r="C88" s="70">
        <v>1488507549729</v>
      </c>
      <c r="D88" s="70">
        <v>2240131441051</v>
      </c>
      <c r="E88" s="17">
        <v>3728638990780</v>
      </c>
      <c r="F88" s="68">
        <v>1001239817402</v>
      </c>
      <c r="G88" s="17">
        <v>2033688077681</v>
      </c>
      <c r="H88" s="13">
        <v>1694950913099</v>
      </c>
      <c r="I88" s="13">
        <v>173510721755</v>
      </c>
      <c r="J88" s="13">
        <v>26562450000</v>
      </c>
      <c r="K88" s="39">
        <v>33687170000</v>
      </c>
      <c r="L88" s="13">
        <v>1034201610092</v>
      </c>
      <c r="M88" s="13">
        <v>2498827972</v>
      </c>
      <c r="N88" s="18">
        <v>2011</v>
      </c>
      <c r="O88" s="40">
        <f t="shared" si="14"/>
        <v>10</v>
      </c>
    </row>
    <row r="89" spans="1:15" ht="22.5" customHeight="1" x14ac:dyDescent="0.2">
      <c r="A89" s="48"/>
      <c r="B89" s="42">
        <v>2022</v>
      </c>
      <c r="C89" s="70">
        <v>1502657683212</v>
      </c>
      <c r="D89" s="70">
        <v>2241094053846</v>
      </c>
      <c r="E89" s="17">
        <v>3743751737058</v>
      </c>
      <c r="F89" s="68">
        <v>1095251094706</v>
      </c>
      <c r="G89" s="17">
        <v>2117499934233</v>
      </c>
      <c r="H89" s="13">
        <v>1626251802825</v>
      </c>
      <c r="I89" s="13">
        <v>153441610795</v>
      </c>
      <c r="J89" s="13">
        <v>15445310000</v>
      </c>
      <c r="K89" s="39">
        <v>6739480000</v>
      </c>
      <c r="L89" s="13">
        <v>-68275169424</v>
      </c>
      <c r="M89" s="13">
        <v>2357605504</v>
      </c>
      <c r="N89" s="18">
        <v>2011</v>
      </c>
      <c r="O89" s="40">
        <f t="shared" si="14"/>
        <v>11</v>
      </c>
    </row>
    <row r="90" spans="1:15" ht="22.5" customHeight="1" x14ac:dyDescent="0.2">
      <c r="A90" s="48"/>
      <c r="B90" s="42">
        <v>2023</v>
      </c>
      <c r="C90" s="70">
        <v>1491061329243</v>
      </c>
      <c r="D90" s="70">
        <v>2028193913640</v>
      </c>
      <c r="E90" s="17">
        <v>3519255242883</v>
      </c>
      <c r="F90" s="68">
        <v>1108683871338</v>
      </c>
      <c r="G90" s="17">
        <v>2161295035484</v>
      </c>
      <c r="H90" s="13">
        <v>1357960207399</v>
      </c>
      <c r="I90" s="13">
        <v>154587592125</v>
      </c>
      <c r="J90" s="13">
        <v>12178510000</v>
      </c>
      <c r="K90" s="39">
        <v>1900330000</v>
      </c>
      <c r="L90" s="13">
        <v>-271564578143</v>
      </c>
      <c r="M90" s="13">
        <v>1878290105</v>
      </c>
      <c r="N90" s="18">
        <v>2011</v>
      </c>
      <c r="O90" s="40">
        <f t="shared" si="14"/>
        <v>12</v>
      </c>
    </row>
    <row r="91" spans="1:15" ht="22.5" customHeight="1" x14ac:dyDescent="0.2">
      <c r="A91" s="49"/>
      <c r="B91" s="44">
        <v>2024</v>
      </c>
      <c r="C91" s="61">
        <v>1618231801714</v>
      </c>
      <c r="D91" s="61">
        <v>2129536838484</v>
      </c>
      <c r="E91" s="35">
        <v>3747768640198</v>
      </c>
      <c r="F91" s="62">
        <v>847351668732</v>
      </c>
      <c r="G91" s="35">
        <v>1867842626729</v>
      </c>
      <c r="H91" s="24">
        <v>1879926013469</v>
      </c>
      <c r="I91" s="13">
        <v>1353932364676</v>
      </c>
      <c r="J91" s="13">
        <v>558699770000</v>
      </c>
      <c r="K91" s="46">
        <v>37283470000</v>
      </c>
      <c r="L91" s="13">
        <v>522711993667</v>
      </c>
      <c r="M91" s="13">
        <v>1816314794</v>
      </c>
      <c r="N91" s="18">
        <v>2011</v>
      </c>
      <c r="O91" s="56">
        <f t="shared" si="14"/>
        <v>13</v>
      </c>
    </row>
    <row r="92" spans="1:15" ht="22.5" customHeight="1" x14ac:dyDescent="0.2">
      <c r="A92" s="48" t="s">
        <v>30</v>
      </c>
      <c r="B92" s="42">
        <v>2019</v>
      </c>
      <c r="C92" s="168"/>
      <c r="D92" s="168"/>
      <c r="E92" s="168"/>
      <c r="F92" s="168"/>
      <c r="G92" s="169"/>
      <c r="H92" s="169"/>
      <c r="I92" s="13">
        <v>84249947508</v>
      </c>
      <c r="J92" s="168"/>
      <c r="K92" s="168"/>
      <c r="L92" s="168"/>
      <c r="M92" s="168"/>
      <c r="N92" s="169"/>
      <c r="O92" s="169"/>
    </row>
    <row r="93" spans="1:15" ht="22.5" customHeight="1" x14ac:dyDescent="0.2">
      <c r="A93" s="48"/>
      <c r="B93" s="37">
        <v>2020</v>
      </c>
      <c r="C93" s="70">
        <v>267196924710</v>
      </c>
      <c r="D93" s="70">
        <v>603510528360</v>
      </c>
      <c r="E93" s="17">
        <v>870707453070</v>
      </c>
      <c r="F93" s="68">
        <v>81634525401</v>
      </c>
      <c r="G93" s="17">
        <v>245524649894</v>
      </c>
      <c r="H93" s="13">
        <v>625182803176</v>
      </c>
      <c r="I93" s="13">
        <v>51320798915</v>
      </c>
      <c r="J93" s="13">
        <v>16616477301</v>
      </c>
      <c r="K93" s="39">
        <v>1313019970</v>
      </c>
      <c r="L93" s="13">
        <v>-1481751003</v>
      </c>
      <c r="M93" s="13">
        <v>96171044</v>
      </c>
      <c r="N93" s="18">
        <v>2000</v>
      </c>
      <c r="O93" s="41">
        <f t="shared" ref="O93:O97" si="15">B93-N93</f>
        <v>20</v>
      </c>
    </row>
    <row r="94" spans="1:15" ht="22.5" customHeight="1" x14ac:dyDescent="0.2">
      <c r="A94" s="48"/>
      <c r="B94" s="42">
        <v>2021</v>
      </c>
      <c r="C94" s="70">
        <v>248069247814</v>
      </c>
      <c r="D94" s="70">
        <v>620961426811</v>
      </c>
      <c r="E94" s="17">
        <v>869030674625</v>
      </c>
      <c r="F94" s="68">
        <v>193806868880</v>
      </c>
      <c r="G94" s="17">
        <v>233332307567</v>
      </c>
      <c r="H94" s="13">
        <v>635698367058</v>
      </c>
      <c r="I94" s="13">
        <v>52738265883</v>
      </c>
      <c r="J94" s="13">
        <v>26273611515</v>
      </c>
      <c r="K94" s="39">
        <v>1359419402</v>
      </c>
      <c r="L94" s="13">
        <v>8562317113</v>
      </c>
      <c r="M94" s="13">
        <v>125097711</v>
      </c>
      <c r="N94" s="18">
        <v>2000</v>
      </c>
      <c r="O94" s="41">
        <f t="shared" si="15"/>
        <v>21</v>
      </c>
    </row>
    <row r="95" spans="1:15" ht="22.5" customHeight="1" x14ac:dyDescent="0.2">
      <c r="A95" s="48"/>
      <c r="B95" s="42">
        <v>2022</v>
      </c>
      <c r="C95" s="70">
        <v>194478486688</v>
      </c>
      <c r="D95" s="70">
        <v>558387356383</v>
      </c>
      <c r="E95" s="17">
        <v>752865843071</v>
      </c>
      <c r="F95" s="68">
        <v>68336742190</v>
      </c>
      <c r="G95" s="17">
        <v>100867958685</v>
      </c>
      <c r="H95" s="13">
        <v>651997884387</v>
      </c>
      <c r="I95" s="13">
        <v>52372680139</v>
      </c>
      <c r="J95" s="13">
        <v>22783606882</v>
      </c>
      <c r="K95" s="39">
        <v>1327680636</v>
      </c>
      <c r="L95" s="13">
        <v>17293843958</v>
      </c>
      <c r="M95" s="13">
        <v>74341763</v>
      </c>
      <c r="N95" s="18">
        <v>2000</v>
      </c>
      <c r="O95" s="41">
        <f t="shared" si="15"/>
        <v>22</v>
      </c>
    </row>
    <row r="96" spans="1:15" ht="22.5" customHeight="1" x14ac:dyDescent="0.2">
      <c r="A96" s="48"/>
      <c r="B96" s="42">
        <v>2023</v>
      </c>
      <c r="C96" s="70">
        <v>184695899175</v>
      </c>
      <c r="D96" s="70">
        <v>597639511714</v>
      </c>
      <c r="E96" s="17">
        <v>782335410889</v>
      </c>
      <c r="F96" s="68">
        <v>89641904121</v>
      </c>
      <c r="G96" s="17">
        <v>113016805012</v>
      </c>
      <c r="H96" s="13">
        <v>669318605877</v>
      </c>
      <c r="I96" s="13">
        <v>42580151783</v>
      </c>
      <c r="J96" s="13">
        <v>18588544666</v>
      </c>
      <c r="K96" s="39">
        <v>1068128541</v>
      </c>
      <c r="L96" s="13">
        <v>17362764969</v>
      </c>
      <c r="M96" s="13">
        <v>232449628</v>
      </c>
      <c r="N96" s="18">
        <v>2000</v>
      </c>
      <c r="O96" s="41">
        <f t="shared" si="15"/>
        <v>23</v>
      </c>
    </row>
    <row r="97" spans="1:15" ht="22.5" customHeight="1" x14ac:dyDescent="0.2">
      <c r="A97" s="49"/>
      <c r="B97" s="44">
        <v>2024</v>
      </c>
      <c r="C97" s="61">
        <v>177129927079</v>
      </c>
      <c r="D97" s="61">
        <v>600179808282</v>
      </c>
      <c r="E97" s="35">
        <v>777309735361</v>
      </c>
      <c r="F97" s="62">
        <v>84398200320</v>
      </c>
      <c r="G97" s="35">
        <v>97645102677</v>
      </c>
      <c r="H97" s="24">
        <v>679664632684</v>
      </c>
      <c r="I97" s="13">
        <v>35317779779</v>
      </c>
      <c r="J97" s="24">
        <v>11099468010</v>
      </c>
      <c r="K97" s="46">
        <v>651446679</v>
      </c>
      <c r="L97" s="13">
        <v>10364124122</v>
      </c>
      <c r="M97" s="13">
        <v>267860668</v>
      </c>
      <c r="N97" s="18">
        <v>2000</v>
      </c>
      <c r="O97" s="47">
        <f t="shared" si="15"/>
        <v>24</v>
      </c>
    </row>
    <row r="98" spans="1:15" ht="22.5" customHeight="1" x14ac:dyDescent="0.2">
      <c r="A98" s="48" t="s">
        <v>31</v>
      </c>
      <c r="B98" s="42">
        <v>2019</v>
      </c>
      <c r="C98" s="168"/>
      <c r="D98" s="168"/>
      <c r="E98" s="168"/>
      <c r="F98" s="168"/>
      <c r="G98" s="169"/>
      <c r="H98" s="169"/>
      <c r="I98" s="13">
        <v>211154716963</v>
      </c>
      <c r="J98" s="168"/>
      <c r="K98" s="168"/>
      <c r="L98" s="168"/>
      <c r="M98" s="168"/>
      <c r="N98" s="169"/>
      <c r="O98" s="169"/>
    </row>
    <row r="99" spans="1:15" ht="22.5" customHeight="1" x14ac:dyDescent="0.2">
      <c r="A99" s="48"/>
      <c r="B99" s="37">
        <v>2020</v>
      </c>
      <c r="C99" s="16">
        <v>466605508681</v>
      </c>
      <c r="D99" s="16">
        <v>520717633415</v>
      </c>
      <c r="E99" s="17">
        <v>987323142096</v>
      </c>
      <c r="F99" s="17">
        <v>335120216073</v>
      </c>
      <c r="G99" s="17">
        <v>402384335106</v>
      </c>
      <c r="H99" s="13">
        <v>584938806990</v>
      </c>
      <c r="I99" s="13">
        <v>171579489556</v>
      </c>
      <c r="J99" s="13">
        <v>-96956856318</v>
      </c>
      <c r="K99" s="13">
        <v>451221614</v>
      </c>
      <c r="L99" s="13">
        <v>-105950046766</v>
      </c>
      <c r="M99" s="13">
        <v>408789510</v>
      </c>
      <c r="N99" s="25">
        <v>2000</v>
      </c>
      <c r="O99" s="18">
        <f t="shared" ref="O99:O103" si="16">B99-N99</f>
        <v>20</v>
      </c>
    </row>
    <row r="100" spans="1:15" ht="22.5" customHeight="1" x14ac:dyDescent="0.2">
      <c r="A100" s="48"/>
      <c r="B100" s="42">
        <v>2021</v>
      </c>
      <c r="C100" s="16">
        <v>493500638906</v>
      </c>
      <c r="D100" s="16">
        <v>579433997793</v>
      </c>
      <c r="E100" s="17">
        <v>1072934636699</v>
      </c>
      <c r="F100" s="17">
        <v>290368704875</v>
      </c>
      <c r="G100" s="17">
        <v>515861813615</v>
      </c>
      <c r="H100" s="13">
        <v>557072823084</v>
      </c>
      <c r="I100" s="13">
        <v>141833536671</v>
      </c>
      <c r="J100" s="13">
        <v>-5856436266</v>
      </c>
      <c r="K100" s="13">
        <v>334357652</v>
      </c>
      <c r="L100" s="13">
        <v>-27376369761</v>
      </c>
      <c r="M100" s="13">
        <v>1207974442</v>
      </c>
      <c r="N100" s="25">
        <v>2000</v>
      </c>
      <c r="O100" s="18">
        <f t="shared" si="16"/>
        <v>21</v>
      </c>
    </row>
    <row r="101" spans="1:15" ht="22.5" customHeight="1" x14ac:dyDescent="0.2">
      <c r="A101" s="48"/>
      <c r="B101" s="42">
        <v>2022</v>
      </c>
      <c r="C101" s="16">
        <v>497830875088</v>
      </c>
      <c r="D101" s="16">
        <v>663109610044</v>
      </c>
      <c r="E101" s="17">
        <v>1160940485132</v>
      </c>
      <c r="F101" s="17">
        <v>366956051467</v>
      </c>
      <c r="G101" s="17">
        <v>594503930604</v>
      </c>
      <c r="H101" s="13">
        <v>566436554528</v>
      </c>
      <c r="I101" s="13">
        <v>322368818129</v>
      </c>
      <c r="J101" s="13">
        <v>65156259180</v>
      </c>
      <c r="K101" s="13">
        <v>389995779</v>
      </c>
      <c r="L101" s="13">
        <v>8998249188</v>
      </c>
      <c r="M101" s="13">
        <v>2448945162</v>
      </c>
      <c r="N101" s="25">
        <v>2000</v>
      </c>
      <c r="O101" s="18">
        <f t="shared" si="16"/>
        <v>22</v>
      </c>
    </row>
    <row r="102" spans="1:15" ht="22.5" customHeight="1" x14ac:dyDescent="0.2">
      <c r="A102" s="48"/>
      <c r="B102" s="42">
        <v>2023</v>
      </c>
      <c r="C102" s="16">
        <v>580395582424</v>
      </c>
      <c r="D102" s="16">
        <v>623539925704</v>
      </c>
      <c r="E102" s="17">
        <v>1203935508128</v>
      </c>
      <c r="F102" s="17">
        <v>314284412320</v>
      </c>
      <c r="G102" s="17">
        <v>507651355382</v>
      </c>
      <c r="H102" s="13">
        <v>696284152746</v>
      </c>
      <c r="I102" s="13">
        <v>388226694297</v>
      </c>
      <c r="J102" s="13">
        <v>116277247783</v>
      </c>
      <c r="K102" s="13">
        <v>376576321</v>
      </c>
      <c r="L102" s="13">
        <v>129014313359</v>
      </c>
      <c r="M102" s="13">
        <v>2664374572</v>
      </c>
      <c r="N102" s="25">
        <v>2000</v>
      </c>
      <c r="O102" s="18">
        <f t="shared" si="16"/>
        <v>23</v>
      </c>
    </row>
    <row r="103" spans="1:15" ht="22.5" customHeight="1" x14ac:dyDescent="0.2">
      <c r="A103" s="49"/>
      <c r="B103" s="44">
        <v>2024</v>
      </c>
      <c r="C103" s="34">
        <v>713560772158</v>
      </c>
      <c r="D103" s="34">
        <v>580522187089</v>
      </c>
      <c r="E103" s="35">
        <v>1294082959247</v>
      </c>
      <c r="F103" s="35">
        <v>224295372318</v>
      </c>
      <c r="G103" s="35">
        <v>463193359356</v>
      </c>
      <c r="H103" s="24">
        <v>830889599891</v>
      </c>
      <c r="I103" s="13">
        <v>409300989431</v>
      </c>
      <c r="J103" s="24">
        <v>134590061575</v>
      </c>
      <c r="K103" s="24">
        <v>378165920</v>
      </c>
      <c r="L103" s="13">
        <v>136854119638</v>
      </c>
      <c r="M103" s="13">
        <v>5944223170</v>
      </c>
      <c r="N103" s="25">
        <v>2000</v>
      </c>
      <c r="O103" s="25">
        <f t="shared" si="16"/>
        <v>24</v>
      </c>
    </row>
    <row r="104" spans="1:15" ht="22.5" customHeight="1" x14ac:dyDescent="0.2">
      <c r="A104" s="48" t="s">
        <v>32</v>
      </c>
      <c r="B104" s="42">
        <v>2019</v>
      </c>
      <c r="C104" s="168"/>
      <c r="D104" s="168"/>
      <c r="E104" s="168"/>
      <c r="F104" s="168"/>
      <c r="G104" s="169"/>
      <c r="H104" s="169"/>
      <c r="I104" s="13">
        <v>397699225488</v>
      </c>
      <c r="J104" s="168"/>
      <c r="K104" s="168"/>
      <c r="L104" s="168"/>
      <c r="M104" s="168"/>
      <c r="N104" s="169"/>
      <c r="O104" s="169"/>
    </row>
    <row r="105" spans="1:15" ht="22.5" customHeight="1" x14ac:dyDescent="0.2">
      <c r="A105" s="48"/>
      <c r="B105" s="37">
        <v>2020</v>
      </c>
      <c r="C105" s="16">
        <v>1453805827200</v>
      </c>
      <c r="D105" s="16">
        <v>273555849747</v>
      </c>
      <c r="E105" s="17">
        <v>1727361676947</v>
      </c>
      <c r="F105" s="17">
        <v>409260780295</v>
      </c>
      <c r="G105" s="17">
        <v>674113858270</v>
      </c>
      <c r="H105" s="13">
        <v>1053247818677</v>
      </c>
      <c r="I105" s="13">
        <v>323797082016</v>
      </c>
      <c r="J105" s="13">
        <v>70611444416</v>
      </c>
      <c r="K105" s="13">
        <v>798250000</v>
      </c>
      <c r="L105" s="13">
        <v>34752426451</v>
      </c>
      <c r="M105" s="13">
        <v>4466723532</v>
      </c>
      <c r="N105" s="25">
        <v>2007</v>
      </c>
      <c r="O105" s="18">
        <f t="shared" ref="O105:O109" si="17">B105-N105</f>
        <v>13</v>
      </c>
    </row>
    <row r="106" spans="1:15" ht="22.5" customHeight="1" x14ac:dyDescent="0.2">
      <c r="A106" s="48"/>
      <c r="B106" s="42">
        <v>2021</v>
      </c>
      <c r="C106" s="16">
        <v>1379043374866</v>
      </c>
      <c r="D106" s="16">
        <v>381508087583</v>
      </c>
      <c r="E106" s="17">
        <v>1760551462449</v>
      </c>
      <c r="F106" s="17">
        <v>464080854956</v>
      </c>
      <c r="G106" s="17">
        <v>654638555294</v>
      </c>
      <c r="H106" s="13">
        <v>1105912907155</v>
      </c>
      <c r="I106" s="13">
        <v>446749184612</v>
      </c>
      <c r="J106" s="13">
        <v>83424899890</v>
      </c>
      <c r="K106" s="13">
        <v>13192030000</v>
      </c>
      <c r="L106" s="13">
        <v>49537431683</v>
      </c>
      <c r="M106" s="13">
        <v>4448993639</v>
      </c>
      <c r="N106" s="25">
        <v>2007</v>
      </c>
      <c r="O106" s="18">
        <f t="shared" si="17"/>
        <v>14</v>
      </c>
    </row>
    <row r="107" spans="1:15" ht="22.5" customHeight="1" x14ac:dyDescent="0.2">
      <c r="A107" s="48"/>
      <c r="B107" s="42">
        <v>2022</v>
      </c>
      <c r="C107" s="16">
        <v>1414460893136</v>
      </c>
      <c r="D107" s="16">
        <v>366894751087</v>
      </c>
      <c r="E107" s="17">
        <v>1781355644223</v>
      </c>
      <c r="F107" s="17">
        <v>478523126157</v>
      </c>
      <c r="G107" s="17">
        <v>602857333624</v>
      </c>
      <c r="H107" s="13">
        <v>1178498310599</v>
      </c>
      <c r="I107" s="13">
        <v>370376407242</v>
      </c>
      <c r="J107" s="13">
        <v>99141325360</v>
      </c>
      <c r="K107" s="13">
        <v>11195770000</v>
      </c>
      <c r="L107" s="13">
        <v>76356236772</v>
      </c>
      <c r="M107" s="13">
        <v>4668300678</v>
      </c>
      <c r="N107" s="25">
        <v>2007</v>
      </c>
      <c r="O107" s="18">
        <f t="shared" si="17"/>
        <v>15</v>
      </c>
    </row>
    <row r="108" spans="1:15" ht="22.5" customHeight="1" x14ac:dyDescent="0.2">
      <c r="A108" s="48"/>
      <c r="B108" s="42">
        <v>2023</v>
      </c>
      <c r="C108" s="16">
        <v>1540681817840</v>
      </c>
      <c r="D108" s="16">
        <v>413549600149</v>
      </c>
      <c r="E108" s="17">
        <v>1954231417989</v>
      </c>
      <c r="F108" s="17">
        <v>433558057829</v>
      </c>
      <c r="G108" s="17">
        <v>685872382107</v>
      </c>
      <c r="H108" s="13">
        <v>1268359035882</v>
      </c>
      <c r="I108" s="13">
        <v>459530105155</v>
      </c>
      <c r="J108" s="13">
        <v>124503907920</v>
      </c>
      <c r="K108" s="13">
        <v>14162980000</v>
      </c>
      <c r="L108" s="13">
        <v>96478579108</v>
      </c>
      <c r="M108" s="13">
        <v>5047528056</v>
      </c>
      <c r="N108" s="25">
        <v>2007</v>
      </c>
      <c r="O108" s="18">
        <f t="shared" si="17"/>
        <v>16</v>
      </c>
    </row>
    <row r="109" spans="1:15" ht="22.5" customHeight="1" x14ac:dyDescent="0.2">
      <c r="A109" s="49"/>
      <c r="B109" s="44">
        <v>2024</v>
      </c>
      <c r="C109" s="34">
        <v>1525691421249</v>
      </c>
      <c r="D109" s="34">
        <v>447004125501</v>
      </c>
      <c r="E109" s="35">
        <v>1972695546750</v>
      </c>
      <c r="F109" s="35">
        <v>358266705868</v>
      </c>
      <c r="G109" s="35">
        <v>604841454899</v>
      </c>
      <c r="H109" s="24">
        <v>1367854091851</v>
      </c>
      <c r="I109" s="13">
        <v>517063735554</v>
      </c>
      <c r="J109" s="24">
        <v>155771300140</v>
      </c>
      <c r="K109" s="24">
        <v>15390530000</v>
      </c>
      <c r="L109" s="13">
        <v>123878846350</v>
      </c>
      <c r="M109" s="13">
        <v>5138921103</v>
      </c>
      <c r="N109" s="25">
        <v>2007</v>
      </c>
      <c r="O109" s="25">
        <f t="shared" si="17"/>
        <v>17</v>
      </c>
    </row>
    <row r="110" spans="1:15" ht="22.5" customHeight="1" x14ac:dyDescent="0.2">
      <c r="A110" s="48" t="s">
        <v>33</v>
      </c>
      <c r="B110" s="42">
        <v>2019</v>
      </c>
      <c r="C110" s="168"/>
      <c r="D110" s="168"/>
      <c r="E110" s="168"/>
      <c r="F110" s="168"/>
      <c r="G110" s="169"/>
      <c r="H110" s="169"/>
      <c r="I110" s="13">
        <v>900208787095</v>
      </c>
      <c r="J110" s="168"/>
      <c r="K110" s="168"/>
      <c r="L110" s="168"/>
      <c r="M110" s="168"/>
      <c r="N110" s="169"/>
      <c r="O110" s="169"/>
    </row>
    <row r="111" spans="1:15" ht="22.5" customHeight="1" x14ac:dyDescent="0.2">
      <c r="A111" s="48"/>
      <c r="B111" s="37">
        <v>2020</v>
      </c>
      <c r="C111" s="16">
        <v>755878224090</v>
      </c>
      <c r="D111" s="16">
        <v>6901228027476</v>
      </c>
      <c r="E111" s="17">
        <v>7657106251566</v>
      </c>
      <c r="F111" s="17">
        <v>203665590134</v>
      </c>
      <c r="G111" s="17">
        <v>1885064829152</v>
      </c>
      <c r="H111" s="13">
        <v>5772041422414</v>
      </c>
      <c r="I111" s="13">
        <v>397049609531</v>
      </c>
      <c r="J111" s="13">
        <v>-49562362285</v>
      </c>
      <c r="K111" s="13">
        <v>-1903170000</v>
      </c>
      <c r="L111" s="13">
        <v>-483534590924</v>
      </c>
      <c r="M111" s="13">
        <v>63265943489</v>
      </c>
      <c r="N111" s="18">
        <v>2004</v>
      </c>
      <c r="O111" s="18">
        <f t="shared" ref="O111:O115" si="18">B111-N111</f>
        <v>16</v>
      </c>
    </row>
    <row r="112" spans="1:15" ht="22.5" customHeight="1" x14ac:dyDescent="0.2">
      <c r="A112" s="48"/>
      <c r="B112" s="42">
        <v>2021</v>
      </c>
      <c r="C112" s="16">
        <v>1849220249359</v>
      </c>
      <c r="D112" s="16">
        <v>7121682556446</v>
      </c>
      <c r="E112" s="17">
        <v>8970902805805</v>
      </c>
      <c r="F112" s="17">
        <v>751378943714</v>
      </c>
      <c r="G112" s="17">
        <v>3274357557173</v>
      </c>
      <c r="H112" s="13">
        <v>5696545248632</v>
      </c>
      <c r="I112" s="13">
        <v>427677089386</v>
      </c>
      <c r="J112" s="13">
        <v>-42867437336</v>
      </c>
      <c r="K112" s="13">
        <v>-187560000</v>
      </c>
      <c r="L112" s="13">
        <v>-42055463453</v>
      </c>
      <c r="M112" s="13">
        <v>57349705836</v>
      </c>
      <c r="N112" s="18">
        <v>2004</v>
      </c>
      <c r="O112" s="18">
        <f t="shared" si="18"/>
        <v>17</v>
      </c>
    </row>
    <row r="113" spans="1:15" ht="22.5" customHeight="1" x14ac:dyDescent="0.2">
      <c r="A113" s="48"/>
      <c r="B113" s="42">
        <v>2022</v>
      </c>
      <c r="C113" s="16">
        <v>2077355068561</v>
      </c>
      <c r="D113" s="16">
        <v>7086466110321</v>
      </c>
      <c r="E113" s="17">
        <v>9163821178882</v>
      </c>
      <c r="F113" s="17">
        <v>663049526355</v>
      </c>
      <c r="G113" s="17">
        <v>3423931216118</v>
      </c>
      <c r="H113" s="13">
        <v>5739889962764</v>
      </c>
      <c r="I113" s="13">
        <v>955541184718</v>
      </c>
      <c r="J113" s="13">
        <v>169115504847</v>
      </c>
      <c r="K113" s="13">
        <v>34945450000</v>
      </c>
      <c r="L113" s="13">
        <v>69492222999</v>
      </c>
      <c r="M113" s="13">
        <v>60098013429</v>
      </c>
      <c r="N113" s="18">
        <v>2004</v>
      </c>
      <c r="O113" s="18">
        <f t="shared" si="18"/>
        <v>18</v>
      </c>
    </row>
    <row r="114" spans="1:15" ht="22.5" customHeight="1" x14ac:dyDescent="0.2">
      <c r="A114" s="48"/>
      <c r="B114" s="42">
        <v>2023</v>
      </c>
      <c r="C114" s="16">
        <v>2017187762591</v>
      </c>
      <c r="D114" s="16">
        <v>7328062892876</v>
      </c>
      <c r="E114" s="17">
        <v>9345250655467</v>
      </c>
      <c r="F114" s="17">
        <v>1053375673182</v>
      </c>
      <c r="G114" s="17">
        <v>3416917697137</v>
      </c>
      <c r="H114" s="13">
        <v>5928332958330</v>
      </c>
      <c r="I114" s="13">
        <v>1104710911002</v>
      </c>
      <c r="J114" s="13">
        <v>197686664525</v>
      </c>
      <c r="K114" s="13">
        <v>34227460000</v>
      </c>
      <c r="L114" s="13">
        <v>184896859617</v>
      </c>
      <c r="M114" s="13">
        <v>62809573370</v>
      </c>
      <c r="N114" s="18">
        <v>2004</v>
      </c>
      <c r="O114" s="18">
        <f t="shared" si="18"/>
        <v>19</v>
      </c>
    </row>
    <row r="115" spans="1:15" ht="22.5" customHeight="1" x14ac:dyDescent="0.2">
      <c r="A115" s="49"/>
      <c r="B115" s="44">
        <v>2024</v>
      </c>
      <c r="C115" s="34">
        <v>1511729624720</v>
      </c>
      <c r="D115" s="34">
        <v>8203181366918</v>
      </c>
      <c r="E115" s="35">
        <v>9714910991638</v>
      </c>
      <c r="F115" s="35">
        <v>778498392316</v>
      </c>
      <c r="G115" s="35">
        <v>3419601506601</v>
      </c>
      <c r="H115" s="24">
        <v>6295309485037</v>
      </c>
      <c r="I115" s="13">
        <v>1309661867481</v>
      </c>
      <c r="J115" s="24">
        <v>350546775924</v>
      </c>
      <c r="K115" s="24">
        <v>58039520000</v>
      </c>
      <c r="L115" s="13">
        <v>418069422049</v>
      </c>
      <c r="M115" s="13">
        <v>76867022930</v>
      </c>
      <c r="N115" s="18">
        <v>2004</v>
      </c>
      <c r="O115" s="25">
        <f t="shared" si="18"/>
        <v>20</v>
      </c>
    </row>
    <row r="116" spans="1:15" ht="22.5" customHeight="1" x14ac:dyDescent="0.2">
      <c r="A116" s="48" t="s">
        <v>34</v>
      </c>
      <c r="B116" s="42">
        <v>2019</v>
      </c>
      <c r="C116" s="168"/>
      <c r="D116" s="168"/>
      <c r="E116" s="168"/>
      <c r="F116" s="168"/>
      <c r="G116" s="169"/>
      <c r="H116" s="169"/>
      <c r="I116" s="13">
        <v>2423269696000</v>
      </c>
      <c r="J116" s="168"/>
      <c r="K116" s="168"/>
      <c r="L116" s="168"/>
      <c r="M116" s="168"/>
      <c r="N116" s="169"/>
      <c r="O116" s="169"/>
    </row>
    <row r="117" spans="1:15" ht="22.5" customHeight="1" x14ac:dyDescent="0.2">
      <c r="A117" s="48"/>
      <c r="B117" s="37">
        <v>2020</v>
      </c>
      <c r="C117" s="16">
        <v>4034439346000</v>
      </c>
      <c r="D117" s="16">
        <v>7447081919000</v>
      </c>
      <c r="E117" s="17">
        <v>11481521265000</v>
      </c>
      <c r="F117" s="17">
        <v>3244809938000</v>
      </c>
      <c r="G117" s="17">
        <v>3606436882000</v>
      </c>
      <c r="H117" s="13">
        <v>7875084383000</v>
      </c>
      <c r="I117" s="13">
        <v>2184941986000</v>
      </c>
      <c r="J117" s="13">
        <v>1097390834000</v>
      </c>
      <c r="K117" s="13">
        <v>11785940000</v>
      </c>
      <c r="L117" s="13">
        <v>1013418153000</v>
      </c>
      <c r="M117" s="13">
        <v>9682267000</v>
      </c>
      <c r="N117" s="18">
        <v>1994</v>
      </c>
      <c r="O117" s="18">
        <f t="shared" ref="O117:O121" si="19">B117-N117</f>
        <v>26</v>
      </c>
    </row>
    <row r="118" spans="1:15" ht="22.5" customHeight="1" x14ac:dyDescent="0.2">
      <c r="A118" s="48"/>
      <c r="B118" s="42">
        <v>2021</v>
      </c>
      <c r="C118" s="16">
        <v>3372963980000</v>
      </c>
      <c r="D118" s="16">
        <v>8375183854000</v>
      </c>
      <c r="E118" s="17">
        <v>11748147834000</v>
      </c>
      <c r="F118" s="17">
        <v>3283208945000</v>
      </c>
      <c r="G118" s="17">
        <v>3594354650000</v>
      </c>
      <c r="H118" s="13">
        <v>8153793184000</v>
      </c>
      <c r="I118" s="13">
        <v>2174343050000</v>
      </c>
      <c r="J118" s="13">
        <v>837609530000</v>
      </c>
      <c r="K118" s="13">
        <v>72978480000</v>
      </c>
      <c r="L118" s="13">
        <v>786726309000</v>
      </c>
      <c r="M118" s="13">
        <v>10716831000</v>
      </c>
      <c r="N118" s="18">
        <v>1994</v>
      </c>
      <c r="O118" s="18">
        <f t="shared" si="19"/>
        <v>27</v>
      </c>
    </row>
    <row r="119" spans="1:15" ht="22.5" customHeight="1" x14ac:dyDescent="0.2">
      <c r="A119" s="48"/>
      <c r="B119" s="42">
        <v>2022</v>
      </c>
      <c r="C119" s="16">
        <v>3420467433000</v>
      </c>
      <c r="D119" s="16">
        <v>8831333067000</v>
      </c>
      <c r="E119" s="17">
        <v>12251800500000</v>
      </c>
      <c r="F119" s="17">
        <v>3390150461000</v>
      </c>
      <c r="G119" s="17">
        <v>3619754827000</v>
      </c>
      <c r="H119" s="13">
        <v>8632045673000</v>
      </c>
      <c r="I119" s="13">
        <v>2258974450000</v>
      </c>
      <c r="J119" s="13">
        <v>965074204000</v>
      </c>
      <c r="K119" s="13">
        <v>80830760000</v>
      </c>
      <c r="L119" s="13">
        <v>879772894000</v>
      </c>
      <c r="M119" s="13">
        <v>10574770000</v>
      </c>
      <c r="N119" s="18">
        <v>1994</v>
      </c>
      <c r="O119" s="18">
        <f t="shared" si="19"/>
        <v>28</v>
      </c>
    </row>
    <row r="120" spans="1:15" ht="22.5" customHeight="1" x14ac:dyDescent="0.2">
      <c r="A120" s="48"/>
      <c r="B120" s="42">
        <v>2023</v>
      </c>
      <c r="C120" s="16">
        <v>3232639126000</v>
      </c>
      <c r="D120" s="16">
        <v>9974259261000</v>
      </c>
      <c r="E120" s="17">
        <v>13206898387000</v>
      </c>
      <c r="F120" s="17">
        <v>3695640800000</v>
      </c>
      <c r="G120" s="17">
        <v>3936063377000</v>
      </c>
      <c r="H120" s="13">
        <v>9270835010000</v>
      </c>
      <c r="I120" s="13">
        <v>2503645371000</v>
      </c>
      <c r="J120" s="13">
        <v>1108442407000</v>
      </c>
      <c r="K120" s="13">
        <v>93735020000</v>
      </c>
      <c r="L120" s="13">
        <v>1024337528000</v>
      </c>
      <c r="M120" s="13">
        <v>12306951000</v>
      </c>
      <c r="N120" s="18">
        <v>1994</v>
      </c>
      <c r="O120" s="18">
        <f t="shared" si="19"/>
        <v>29</v>
      </c>
    </row>
    <row r="121" spans="1:15" ht="22.5" customHeight="1" x14ac:dyDescent="0.2">
      <c r="A121" s="49"/>
      <c r="B121" s="44">
        <v>2024</v>
      </c>
      <c r="C121" s="34">
        <v>3938815299000</v>
      </c>
      <c r="D121" s="34">
        <v>10163802376000</v>
      </c>
      <c r="E121" s="35">
        <v>14102617675000</v>
      </c>
      <c r="F121" s="35">
        <v>3731434118000</v>
      </c>
      <c r="G121" s="35">
        <v>3982977608000</v>
      </c>
      <c r="H121" s="24">
        <v>10119640067000</v>
      </c>
      <c r="I121" s="13">
        <v>2948078235000</v>
      </c>
      <c r="J121" s="24">
        <v>1241020954000</v>
      </c>
      <c r="K121" s="24">
        <v>128774480000</v>
      </c>
      <c r="L121" s="13">
        <v>1151349208000</v>
      </c>
      <c r="M121" s="13">
        <v>32810671000</v>
      </c>
      <c r="N121" s="18">
        <v>1994</v>
      </c>
      <c r="O121" s="25">
        <f t="shared" si="19"/>
        <v>30</v>
      </c>
    </row>
    <row r="122" spans="1:15" ht="22.5" customHeight="1" x14ac:dyDescent="0.2">
      <c r="A122" s="48" t="s">
        <v>35</v>
      </c>
      <c r="B122" s="42">
        <v>2019</v>
      </c>
      <c r="C122" s="168"/>
      <c r="D122" s="168"/>
      <c r="E122" s="168"/>
      <c r="F122" s="168"/>
      <c r="G122" s="169"/>
      <c r="H122" s="169"/>
      <c r="I122" s="13">
        <v>2253944326651</v>
      </c>
      <c r="J122" s="168"/>
      <c r="K122" s="168"/>
      <c r="L122" s="168"/>
      <c r="M122" s="168"/>
      <c r="N122" s="169"/>
      <c r="O122" s="169"/>
    </row>
    <row r="123" spans="1:15" ht="22.5" customHeight="1" x14ac:dyDescent="0.2">
      <c r="A123" s="48"/>
      <c r="B123" s="37">
        <v>2020</v>
      </c>
      <c r="C123" s="16">
        <v>8519726344155</v>
      </c>
      <c r="D123" s="16">
        <v>3680449635715</v>
      </c>
      <c r="E123" s="17">
        <v>12200175979870</v>
      </c>
      <c r="F123" s="17">
        <v>1378761274765</v>
      </c>
      <c r="G123" s="17">
        <v>5939921471289</v>
      </c>
      <c r="H123" s="13">
        <v>6260254508581</v>
      </c>
      <c r="I123" s="13">
        <v>2396086017034</v>
      </c>
      <c r="J123" s="13">
        <v>447953668239</v>
      </c>
      <c r="K123" s="13">
        <v>16747580000</v>
      </c>
      <c r="L123" s="13">
        <v>45249873535</v>
      </c>
      <c r="M123" s="13">
        <v>166289211950</v>
      </c>
      <c r="N123" s="25">
        <v>1995</v>
      </c>
      <c r="O123" s="18">
        <f t="shared" ref="O123:O127" si="20">B123-N123</f>
        <v>25</v>
      </c>
    </row>
    <row r="124" spans="1:15" ht="22.5" customHeight="1" x14ac:dyDescent="0.2">
      <c r="A124" s="48"/>
      <c r="B124" s="42">
        <v>2021</v>
      </c>
      <c r="C124" s="16">
        <v>8638908717781</v>
      </c>
      <c r="D124" s="16">
        <v>3653181612245</v>
      </c>
      <c r="E124" s="17">
        <v>12292090330026</v>
      </c>
      <c r="F124" s="17">
        <v>1320149276793</v>
      </c>
      <c r="G124" s="17">
        <v>5920079958943</v>
      </c>
      <c r="H124" s="13">
        <v>6372010371083</v>
      </c>
      <c r="I124" s="13">
        <v>2490256211002</v>
      </c>
      <c r="J124" s="13">
        <v>491013694610</v>
      </c>
      <c r="K124" s="13">
        <v>12694530000</v>
      </c>
      <c r="L124" s="13">
        <v>87635897475</v>
      </c>
      <c r="M124" s="13">
        <v>145830806383</v>
      </c>
      <c r="N124" s="25">
        <v>1995</v>
      </c>
      <c r="O124" s="18">
        <f t="shared" si="20"/>
        <v>26</v>
      </c>
    </row>
    <row r="125" spans="1:15" ht="22.5" customHeight="1" x14ac:dyDescent="0.2">
      <c r="A125" s="48"/>
      <c r="B125" s="42">
        <v>2022</v>
      </c>
      <c r="C125" s="16">
        <v>8964904133457</v>
      </c>
      <c r="D125" s="16">
        <v>4145555250143</v>
      </c>
      <c r="E125" s="17">
        <v>13110459383600</v>
      </c>
      <c r="F125" s="17">
        <v>1985458651793</v>
      </c>
      <c r="G125" s="17">
        <v>6605083823533</v>
      </c>
      <c r="H125" s="13">
        <v>6505375560067</v>
      </c>
      <c r="I125" s="13">
        <v>2747185440534</v>
      </c>
      <c r="J125" s="13">
        <v>477493187600</v>
      </c>
      <c r="K125" s="13">
        <v>53032510000</v>
      </c>
      <c r="L125" s="13">
        <v>40980837130</v>
      </c>
      <c r="M125" s="13">
        <v>150062485733</v>
      </c>
      <c r="N125" s="25">
        <v>1995</v>
      </c>
      <c r="O125" s="18">
        <f t="shared" si="20"/>
        <v>27</v>
      </c>
    </row>
    <row r="126" spans="1:15" ht="22.5" customHeight="1" x14ac:dyDescent="0.2">
      <c r="A126" s="48"/>
      <c r="B126" s="42">
        <v>2023</v>
      </c>
      <c r="C126" s="16">
        <v>8840064682603</v>
      </c>
      <c r="D126" s="16">
        <v>4107370637635</v>
      </c>
      <c r="E126" s="17">
        <v>12947435320238</v>
      </c>
      <c r="F126" s="17">
        <v>1538459154881</v>
      </c>
      <c r="G126" s="17">
        <v>6016058083818</v>
      </c>
      <c r="H126" s="13">
        <v>6931377236420</v>
      </c>
      <c r="I126" s="13">
        <v>3299597000000</v>
      </c>
      <c r="J126" s="13">
        <v>937657000000</v>
      </c>
      <c r="K126" s="13">
        <v>92079000000</v>
      </c>
      <c r="L126" s="13">
        <v>528623322076</v>
      </c>
      <c r="M126" s="13">
        <v>167692399686</v>
      </c>
      <c r="N126" s="25">
        <v>1995</v>
      </c>
      <c r="O126" s="18">
        <f t="shared" si="20"/>
        <v>28</v>
      </c>
    </row>
    <row r="127" spans="1:15" ht="22.5" customHeight="1" x14ac:dyDescent="0.2">
      <c r="A127" s="49"/>
      <c r="B127" s="44">
        <v>2024</v>
      </c>
      <c r="C127" s="34">
        <v>10560342000000</v>
      </c>
      <c r="D127" s="34">
        <v>3457014000000</v>
      </c>
      <c r="E127" s="35">
        <v>14017356000000</v>
      </c>
      <c r="F127" s="35">
        <v>2017325000000</v>
      </c>
      <c r="G127" s="35">
        <v>6478399000000</v>
      </c>
      <c r="H127" s="24">
        <v>7538957000000</v>
      </c>
      <c r="I127" s="13">
        <v>4602648000000</v>
      </c>
      <c r="J127" s="24">
        <v>1188324000000</v>
      </c>
      <c r="K127" s="24">
        <v>89805000000</v>
      </c>
      <c r="L127" s="13">
        <v>770058000000</v>
      </c>
      <c r="M127" s="13">
        <v>177963000000</v>
      </c>
      <c r="N127" s="25">
        <v>1995</v>
      </c>
      <c r="O127" s="25">
        <f t="shared" si="20"/>
        <v>29</v>
      </c>
    </row>
    <row r="128" spans="1:15" ht="22.5" customHeight="1" x14ac:dyDescent="0.2">
      <c r="A128" s="48" t="s">
        <v>36</v>
      </c>
      <c r="B128" s="42">
        <v>2019</v>
      </c>
      <c r="C128" s="168"/>
      <c r="D128" s="168"/>
      <c r="E128" s="168"/>
      <c r="F128" s="168"/>
      <c r="G128" s="169"/>
      <c r="H128" s="169"/>
      <c r="I128" s="13">
        <v>1694809000000</v>
      </c>
      <c r="J128" s="168"/>
      <c r="K128" s="168"/>
      <c r="L128" s="168"/>
      <c r="M128" s="168"/>
      <c r="N128" s="169"/>
      <c r="O128" s="169"/>
    </row>
    <row r="129" spans="1:15" ht="22.5" customHeight="1" x14ac:dyDescent="0.2">
      <c r="A129" s="48"/>
      <c r="B129" s="37">
        <v>2020</v>
      </c>
      <c r="C129" s="16">
        <v>6755890000000</v>
      </c>
      <c r="D129" s="16">
        <v>2963680000000</v>
      </c>
      <c r="E129" s="17">
        <v>9719570000000</v>
      </c>
      <c r="F129" s="17">
        <v>2158098000000</v>
      </c>
      <c r="G129" s="17">
        <v>3140408000000</v>
      </c>
      <c r="H129" s="13">
        <v>6579162000000</v>
      </c>
      <c r="I129" s="13">
        <v>1844373000000</v>
      </c>
      <c r="J129" s="13">
        <v>-1806642000000</v>
      </c>
      <c r="K129" s="13">
        <v>41980000000</v>
      </c>
      <c r="L129" s="13">
        <v>-3646386000000</v>
      </c>
      <c r="M129" s="13">
        <v>30769000000</v>
      </c>
      <c r="N129" s="25">
        <v>1997</v>
      </c>
      <c r="O129" s="18">
        <f t="shared" ref="O129:O133" si="21">B129-N129</f>
        <v>23</v>
      </c>
    </row>
    <row r="130" spans="1:15" ht="22.5" customHeight="1" x14ac:dyDescent="0.2">
      <c r="A130" s="48"/>
      <c r="B130" s="42">
        <v>2021</v>
      </c>
      <c r="C130" s="16">
        <v>6226638000000</v>
      </c>
      <c r="D130" s="16">
        <v>2907899000000</v>
      </c>
      <c r="E130" s="17">
        <v>9134537000000</v>
      </c>
      <c r="F130" s="17">
        <v>1966681000000</v>
      </c>
      <c r="G130" s="17">
        <v>2727591000000</v>
      </c>
      <c r="H130" s="13">
        <v>6406946000000</v>
      </c>
      <c r="I130" s="13">
        <v>1844739000000</v>
      </c>
      <c r="J130" s="13">
        <v>298706000000</v>
      </c>
      <c r="K130" s="13">
        <v>35603000000</v>
      </c>
      <c r="L130" s="13">
        <v>140369000000</v>
      </c>
      <c r="M130" s="13">
        <v>16120000000</v>
      </c>
      <c r="N130" s="25">
        <v>1997</v>
      </c>
      <c r="O130" s="18">
        <f t="shared" si="21"/>
        <v>24</v>
      </c>
    </row>
    <row r="131" spans="1:15" ht="22.5" customHeight="1" x14ac:dyDescent="0.2">
      <c r="A131" s="48"/>
      <c r="B131" s="42">
        <v>2022</v>
      </c>
      <c r="C131" s="16">
        <v>6341540000000</v>
      </c>
      <c r="D131" s="16">
        <v>3008073000000</v>
      </c>
      <c r="E131" s="17">
        <v>9349613000000</v>
      </c>
      <c r="F131" s="17">
        <v>1878838000000</v>
      </c>
      <c r="G131" s="17">
        <v>2654442000000</v>
      </c>
      <c r="H131" s="13">
        <v>6695171000000</v>
      </c>
      <c r="I131" s="13">
        <v>1267725000000</v>
      </c>
      <c r="J131" s="13">
        <v>398401000000</v>
      </c>
      <c r="K131" s="13">
        <v>36402000000</v>
      </c>
      <c r="L131" s="13">
        <v>302814000000</v>
      </c>
      <c r="M131" s="13">
        <v>14106000000</v>
      </c>
      <c r="N131" s="25">
        <v>1997</v>
      </c>
      <c r="O131" s="18">
        <f t="shared" si="21"/>
        <v>25</v>
      </c>
    </row>
    <row r="132" spans="1:15" ht="22.5" customHeight="1" x14ac:dyDescent="0.2">
      <c r="A132" s="48"/>
      <c r="B132" s="42">
        <v>2023</v>
      </c>
      <c r="C132" s="16">
        <v>6841039000000</v>
      </c>
      <c r="D132" s="16">
        <v>2840686000000</v>
      </c>
      <c r="E132" s="17">
        <v>9681725000000</v>
      </c>
      <c r="F132" s="17">
        <v>1852774000000</v>
      </c>
      <c r="G132" s="17">
        <v>2890399000000</v>
      </c>
      <c r="H132" s="22">
        <v>6791326000000</v>
      </c>
      <c r="I132" s="13">
        <v>1055645000000</v>
      </c>
      <c r="J132" s="13">
        <v>210524000000</v>
      </c>
      <c r="K132" s="13">
        <v>33684000000</v>
      </c>
      <c r="L132" s="13">
        <v>108583000000</v>
      </c>
      <c r="M132" s="13">
        <v>10815000000</v>
      </c>
      <c r="N132" s="25">
        <v>1997</v>
      </c>
      <c r="O132" s="18">
        <f t="shared" si="21"/>
        <v>26</v>
      </c>
    </row>
    <row r="133" spans="1:15" ht="22.5" customHeight="1" x14ac:dyDescent="0.2">
      <c r="A133" s="49"/>
      <c r="B133" s="44">
        <v>2024</v>
      </c>
      <c r="C133" s="34">
        <v>11608063000000</v>
      </c>
      <c r="D133" s="34">
        <v>2000211000000</v>
      </c>
      <c r="E133" s="35">
        <v>13608274000000</v>
      </c>
      <c r="F133" s="35">
        <v>5729733000000</v>
      </c>
      <c r="G133" s="35">
        <v>7637445000000</v>
      </c>
      <c r="H133" s="24">
        <v>5970829000000</v>
      </c>
      <c r="I133" s="13">
        <v>1943838000000</v>
      </c>
      <c r="J133" s="24">
        <v>-1534662000000</v>
      </c>
      <c r="K133" s="24">
        <v>39461000000</v>
      </c>
      <c r="L133" s="13">
        <v>-1617783000000</v>
      </c>
      <c r="M133" s="13">
        <v>11499000000</v>
      </c>
      <c r="N133" s="25">
        <v>1997</v>
      </c>
      <c r="O133" s="25">
        <f t="shared" si="21"/>
        <v>27</v>
      </c>
    </row>
    <row r="134" spans="1:15" ht="22.5" customHeight="1" x14ac:dyDescent="0.2">
      <c r="A134" s="48" t="s">
        <v>37</v>
      </c>
      <c r="B134" s="42">
        <v>2019</v>
      </c>
      <c r="C134" s="168"/>
      <c r="D134" s="168"/>
      <c r="E134" s="168"/>
      <c r="F134" s="168"/>
      <c r="G134" s="169"/>
      <c r="H134" s="169"/>
      <c r="I134" s="13">
        <v>12320248000000</v>
      </c>
      <c r="J134" s="168"/>
      <c r="K134" s="168"/>
      <c r="L134" s="168"/>
      <c r="M134" s="168"/>
      <c r="N134" s="169"/>
      <c r="O134" s="169"/>
    </row>
    <row r="135" spans="1:15" ht="22.5" customHeight="1" x14ac:dyDescent="0.2">
      <c r="A135" s="48"/>
      <c r="B135" s="37">
        <v>2020</v>
      </c>
      <c r="C135" s="16">
        <v>33078230000000</v>
      </c>
      <c r="D135" s="16">
        <v>18787250000000</v>
      </c>
      <c r="E135" s="17">
        <v>51865480000000</v>
      </c>
      <c r="F135" s="17">
        <v>10573858000000</v>
      </c>
      <c r="G135" s="17">
        <v>28291825000000</v>
      </c>
      <c r="H135" s="13">
        <v>23573655000000</v>
      </c>
      <c r="I135" s="13">
        <v>11966299000000</v>
      </c>
      <c r="J135" s="13">
        <v>-4962418000000</v>
      </c>
      <c r="K135" s="13">
        <v>326447000000</v>
      </c>
      <c r="L135" s="13">
        <v>-9637220000000</v>
      </c>
      <c r="M135" s="13">
        <v>1650162000000</v>
      </c>
      <c r="N135" s="18">
        <v>1996</v>
      </c>
      <c r="O135" s="18">
        <f t="shared" ref="O135:O139" si="22">B135-N135</f>
        <v>24</v>
      </c>
    </row>
    <row r="136" spans="1:15" ht="22.5" customHeight="1" x14ac:dyDescent="0.2">
      <c r="A136" s="48"/>
      <c r="B136" s="42">
        <v>2021</v>
      </c>
      <c r="C136" s="16">
        <v>31374902000000</v>
      </c>
      <c r="D136" s="16">
        <v>20706034000000</v>
      </c>
      <c r="E136" s="17">
        <v>52080936000000</v>
      </c>
      <c r="F136" s="17">
        <v>9605967000000</v>
      </c>
      <c r="G136" s="17">
        <v>29594927000000</v>
      </c>
      <c r="H136" s="13">
        <v>22486009000000</v>
      </c>
      <c r="I136" s="13">
        <v>16529816000000</v>
      </c>
      <c r="J136" s="13">
        <v>1455669000000</v>
      </c>
      <c r="K136" s="13">
        <v>514932000000</v>
      </c>
      <c r="L136" s="13">
        <v>-1623183000000</v>
      </c>
      <c r="M136" s="13">
        <v>1224215000000</v>
      </c>
      <c r="N136" s="18">
        <v>1996</v>
      </c>
      <c r="O136" s="18">
        <f t="shared" si="22"/>
        <v>25</v>
      </c>
    </row>
    <row r="137" spans="1:15" ht="22.5" customHeight="1" x14ac:dyDescent="0.2">
      <c r="A137" s="48"/>
      <c r="B137" s="42">
        <v>2022</v>
      </c>
      <c r="C137" s="16">
        <v>29144101000000</v>
      </c>
      <c r="D137" s="16">
        <v>20726796000000</v>
      </c>
      <c r="E137" s="17">
        <v>49870897000000</v>
      </c>
      <c r="F137" s="17">
        <v>9325960000000</v>
      </c>
      <c r="G137" s="17">
        <v>30731006000000</v>
      </c>
      <c r="H137" s="13">
        <v>19139891000000</v>
      </c>
      <c r="I137" s="13">
        <v>14808570000000</v>
      </c>
      <c r="J137" s="13">
        <v>113063000000</v>
      </c>
      <c r="K137" s="13">
        <v>433879000000</v>
      </c>
      <c r="L137" s="13">
        <v>-2327495000000</v>
      </c>
      <c r="M137" s="13">
        <v>1252792000000</v>
      </c>
      <c r="N137" s="18">
        <v>1996</v>
      </c>
      <c r="O137" s="18">
        <f t="shared" si="22"/>
        <v>26</v>
      </c>
    </row>
    <row r="138" spans="1:15" ht="22.5" customHeight="1" x14ac:dyDescent="0.2">
      <c r="A138" s="48"/>
      <c r="B138" s="42">
        <v>2023</v>
      </c>
      <c r="C138" s="16">
        <v>29816689000000</v>
      </c>
      <c r="D138" s="16">
        <v>19754135000000</v>
      </c>
      <c r="E138" s="17">
        <v>49570824000000</v>
      </c>
      <c r="F138" s="17">
        <v>9923981000000</v>
      </c>
      <c r="G138" s="17">
        <v>29964393000000</v>
      </c>
      <c r="H138" s="13">
        <v>19606431000000</v>
      </c>
      <c r="I138" s="13">
        <v>16845227000000</v>
      </c>
      <c r="J138" s="13">
        <v>3548882000000</v>
      </c>
      <c r="K138" s="13">
        <v>611119000000</v>
      </c>
      <c r="L138" s="13">
        <v>653699000000</v>
      </c>
      <c r="M138" s="13">
        <v>1177409000000</v>
      </c>
      <c r="N138" s="18">
        <v>1996</v>
      </c>
      <c r="O138" s="18">
        <f t="shared" si="22"/>
        <v>27</v>
      </c>
    </row>
    <row r="139" spans="1:15" ht="22.5" customHeight="1" x14ac:dyDescent="0.2">
      <c r="A139" s="49"/>
      <c r="B139" s="44">
        <v>2024</v>
      </c>
      <c r="C139" s="34">
        <v>34520772000000</v>
      </c>
      <c r="D139" s="34">
        <v>19263087000000</v>
      </c>
      <c r="E139" s="35">
        <v>53783850000000</v>
      </c>
      <c r="F139" s="35">
        <v>11107982000000</v>
      </c>
      <c r="G139" s="35">
        <v>22836790000000</v>
      </c>
      <c r="H139" s="24">
        <v>30947069000000</v>
      </c>
      <c r="I139" s="13">
        <v>11505172000000</v>
      </c>
      <c r="J139" s="24">
        <v>20278474000000</v>
      </c>
      <c r="K139" s="24">
        <v>363619000000</v>
      </c>
      <c r="L139" s="13">
        <v>18727125000000</v>
      </c>
      <c r="M139" s="13">
        <v>689056000000</v>
      </c>
      <c r="N139" s="18">
        <v>1996</v>
      </c>
      <c r="O139" s="25">
        <f t="shared" si="22"/>
        <v>28</v>
      </c>
    </row>
    <row r="140" spans="1:15" ht="22.5" customHeight="1" x14ac:dyDescent="0.2">
      <c r="A140" s="48" t="s">
        <v>38</v>
      </c>
      <c r="B140" s="42">
        <v>2019</v>
      </c>
      <c r="C140" s="168"/>
      <c r="D140" s="168"/>
      <c r="E140" s="168"/>
      <c r="F140" s="168"/>
      <c r="G140" s="169"/>
      <c r="H140" s="169"/>
      <c r="I140" s="13">
        <v>1437899410646</v>
      </c>
      <c r="J140" s="168"/>
      <c r="K140" s="168"/>
      <c r="L140" s="168"/>
      <c r="M140" s="168"/>
      <c r="N140" s="169"/>
      <c r="O140" s="169"/>
    </row>
    <row r="141" spans="1:15" ht="22.5" customHeight="1" x14ac:dyDescent="0.2">
      <c r="A141" s="48"/>
      <c r="B141" s="42">
        <v>2020</v>
      </c>
      <c r="C141" s="54">
        <v>2388191472756</v>
      </c>
      <c r="D141" s="16">
        <v>12461847917101</v>
      </c>
      <c r="E141" s="17">
        <v>14850039389857</v>
      </c>
      <c r="F141" s="17">
        <v>9295120926887</v>
      </c>
      <c r="G141" s="17">
        <v>10629831146672</v>
      </c>
      <c r="H141" s="13">
        <v>4220208243185</v>
      </c>
      <c r="I141" s="13">
        <v>633703029365</v>
      </c>
      <c r="J141" s="13">
        <v>-1213065303896</v>
      </c>
      <c r="K141" s="13">
        <v>49019020000</v>
      </c>
      <c r="L141" s="13">
        <v>-17638800641228</v>
      </c>
      <c r="M141" s="13">
        <v>68708683921</v>
      </c>
      <c r="N141" s="18">
        <v>1993</v>
      </c>
      <c r="O141" s="18">
        <f t="shared" ref="O141:O145" si="23">B141-N141</f>
        <v>27</v>
      </c>
    </row>
    <row r="142" spans="1:15" ht="22.5" customHeight="1" x14ac:dyDescent="0.2">
      <c r="A142" s="48"/>
      <c r="B142" s="42">
        <v>2021</v>
      </c>
      <c r="C142" s="16">
        <v>3395447292615</v>
      </c>
      <c r="D142" s="16">
        <v>11144091748180</v>
      </c>
      <c r="E142" s="17">
        <v>14539539040795</v>
      </c>
      <c r="F142" s="17">
        <v>3469212455512</v>
      </c>
      <c r="G142" s="17">
        <v>10355441282714</v>
      </c>
      <c r="H142" s="13">
        <v>4184097758081</v>
      </c>
      <c r="I142" s="13">
        <v>1881938198148</v>
      </c>
      <c r="J142" s="13">
        <v>458358781547</v>
      </c>
      <c r="K142" s="13">
        <v>33200180000</v>
      </c>
      <c r="L142" s="13">
        <v>-41994106784</v>
      </c>
      <c r="M142" s="13">
        <v>66666349605</v>
      </c>
      <c r="N142" s="18">
        <v>1993</v>
      </c>
      <c r="O142" s="18">
        <f t="shared" si="23"/>
        <v>28</v>
      </c>
    </row>
    <row r="143" spans="1:15" ht="22.5" customHeight="1" x14ac:dyDescent="0.2">
      <c r="A143" s="48"/>
      <c r="B143" s="42">
        <v>2022</v>
      </c>
      <c r="C143" s="16">
        <v>2455645610545</v>
      </c>
      <c r="D143" s="16">
        <v>11072523264398</v>
      </c>
      <c r="E143" s="17">
        <v>13528168874943</v>
      </c>
      <c r="F143" s="17">
        <v>3054936013849</v>
      </c>
      <c r="G143" s="17">
        <v>9302635472833</v>
      </c>
      <c r="H143" s="13">
        <v>4225533402110</v>
      </c>
      <c r="I143" s="13">
        <v>965631164008</v>
      </c>
      <c r="J143" s="13">
        <v>297373660976</v>
      </c>
      <c r="K143" s="13">
        <v>33911560000</v>
      </c>
      <c r="L143" s="13">
        <v>20170729245</v>
      </c>
      <c r="M143" s="13">
        <v>63123334232</v>
      </c>
      <c r="N143" s="18">
        <v>1993</v>
      </c>
      <c r="O143" s="18">
        <f t="shared" si="23"/>
        <v>29</v>
      </c>
    </row>
    <row r="144" spans="1:15" ht="22.5" customHeight="1" x14ac:dyDescent="0.2">
      <c r="A144" s="48"/>
      <c r="B144" s="42">
        <v>2023</v>
      </c>
      <c r="C144" s="16">
        <v>2902172279779</v>
      </c>
      <c r="D144" s="16">
        <v>10786765614560</v>
      </c>
      <c r="E144" s="17">
        <v>13688937894339</v>
      </c>
      <c r="F144" s="17">
        <v>3926584233486</v>
      </c>
      <c r="G144" s="17">
        <v>9572111264550</v>
      </c>
      <c r="H144" s="13">
        <v>4116826629790</v>
      </c>
      <c r="I144" s="13">
        <v>1003901647320</v>
      </c>
      <c r="J144" s="13">
        <v>197186439857</v>
      </c>
      <c r="K144" s="13">
        <v>28484830000</v>
      </c>
      <c r="L144" s="13">
        <v>-104841134375</v>
      </c>
      <c r="M144" s="13">
        <v>61173721985</v>
      </c>
      <c r="N144" s="18">
        <v>1993</v>
      </c>
      <c r="O144" s="18">
        <f t="shared" si="23"/>
        <v>30</v>
      </c>
    </row>
    <row r="145" spans="1:15" ht="22.5" customHeight="1" x14ac:dyDescent="0.2">
      <c r="A145" s="49"/>
      <c r="B145" s="44">
        <v>2024</v>
      </c>
      <c r="C145" s="34">
        <v>2756095361540</v>
      </c>
      <c r="D145" s="34">
        <v>10805378961356</v>
      </c>
      <c r="E145" s="35">
        <v>13561474322896</v>
      </c>
      <c r="F145" s="35">
        <v>5650365420868</v>
      </c>
      <c r="G145" s="35">
        <v>10108095087531</v>
      </c>
      <c r="H145" s="24">
        <v>3453379235365</v>
      </c>
      <c r="I145" s="13">
        <v>850728898700</v>
      </c>
      <c r="J145" s="24">
        <v>-352396605395</v>
      </c>
      <c r="K145" s="24">
        <v>30114790000</v>
      </c>
      <c r="L145" s="13">
        <v>-690855066136</v>
      </c>
      <c r="M145" s="13">
        <v>60813744534</v>
      </c>
      <c r="N145" s="18">
        <v>1993</v>
      </c>
      <c r="O145" s="25">
        <f t="shared" si="23"/>
        <v>31</v>
      </c>
    </row>
    <row r="146" spans="1:15" ht="22.5" customHeight="1" x14ac:dyDescent="0.2">
      <c r="A146" s="48" t="s">
        <v>39</v>
      </c>
      <c r="B146" s="42">
        <v>2019</v>
      </c>
      <c r="C146" s="168"/>
      <c r="D146" s="168"/>
      <c r="E146" s="168"/>
      <c r="F146" s="168"/>
      <c r="G146" s="169"/>
      <c r="H146" s="169"/>
      <c r="I146" s="13">
        <v>1872934497082</v>
      </c>
      <c r="J146" s="168"/>
      <c r="K146" s="168"/>
      <c r="L146" s="168"/>
      <c r="M146" s="168"/>
      <c r="N146" s="169"/>
      <c r="O146" s="169"/>
    </row>
    <row r="147" spans="1:15" ht="22.5" customHeight="1" x14ac:dyDescent="0.2">
      <c r="A147" s="53"/>
      <c r="B147" s="37">
        <v>2020</v>
      </c>
      <c r="C147" s="72">
        <v>879975478975</v>
      </c>
      <c r="D147" s="72">
        <v>6742942586758</v>
      </c>
      <c r="E147" s="29">
        <v>7622918065733</v>
      </c>
      <c r="F147" s="73">
        <v>939808397416</v>
      </c>
      <c r="G147" s="29">
        <v>2015619366153</v>
      </c>
      <c r="H147" s="30">
        <v>5607298699580</v>
      </c>
      <c r="I147" s="13">
        <v>1219793949348</v>
      </c>
      <c r="J147" s="30">
        <v>238276769408</v>
      </c>
      <c r="K147" s="74">
        <v>69499100000</v>
      </c>
      <c r="L147" s="13">
        <v>231113916843</v>
      </c>
      <c r="M147" s="13">
        <v>268421715154</v>
      </c>
      <c r="N147" s="31">
        <v>2009</v>
      </c>
      <c r="O147" s="75">
        <f t="shared" ref="O147:O151" si="24">B147-N147</f>
        <v>11</v>
      </c>
    </row>
    <row r="148" spans="1:15" ht="22.5" customHeight="1" x14ac:dyDescent="0.2">
      <c r="A148" s="48"/>
      <c r="B148" s="42">
        <v>2021</v>
      </c>
      <c r="C148" s="63">
        <v>1032021454100</v>
      </c>
      <c r="D148" s="63">
        <v>6962260977992</v>
      </c>
      <c r="E148" s="17">
        <v>7994282432092</v>
      </c>
      <c r="F148" s="64">
        <v>1059762104835</v>
      </c>
      <c r="G148" s="17">
        <v>2157944970302</v>
      </c>
      <c r="H148" s="13">
        <v>5836337461790</v>
      </c>
      <c r="I148" s="13">
        <v>1318001428423</v>
      </c>
      <c r="J148" s="13">
        <v>343364234987</v>
      </c>
      <c r="K148" s="55">
        <v>87908780000</v>
      </c>
      <c r="L148" s="13">
        <v>324669719210</v>
      </c>
      <c r="M148" s="13">
        <v>279116574800</v>
      </c>
      <c r="N148" s="31">
        <v>2009</v>
      </c>
      <c r="O148" s="66">
        <f t="shared" si="24"/>
        <v>12</v>
      </c>
    </row>
    <row r="149" spans="1:15" ht="22.5" customHeight="1" x14ac:dyDescent="0.2">
      <c r="A149" s="48"/>
      <c r="B149" s="42">
        <v>2022</v>
      </c>
      <c r="C149" s="63">
        <v>1324273038925</v>
      </c>
      <c r="D149" s="63">
        <v>6831665965887</v>
      </c>
      <c r="E149" s="17">
        <v>8155939004812</v>
      </c>
      <c r="F149" s="64">
        <v>1129484734354</v>
      </c>
      <c r="G149" s="17">
        <v>1726321957737</v>
      </c>
      <c r="H149" s="13">
        <v>6429617047075</v>
      </c>
      <c r="I149" s="13">
        <v>1950931780269</v>
      </c>
      <c r="J149" s="13">
        <v>728490244865</v>
      </c>
      <c r="K149" s="55">
        <v>153586750000</v>
      </c>
      <c r="L149" s="13">
        <v>701335731285</v>
      </c>
      <c r="M149" s="13">
        <v>334489481547</v>
      </c>
      <c r="N149" s="31">
        <v>2009</v>
      </c>
      <c r="O149" s="66">
        <f t="shared" si="24"/>
        <v>13</v>
      </c>
    </row>
    <row r="150" spans="1:15" ht="22.5" customHeight="1" x14ac:dyDescent="0.2">
      <c r="A150" s="48"/>
      <c r="B150" s="42">
        <v>2023</v>
      </c>
      <c r="C150" s="63">
        <v>1759136226134</v>
      </c>
      <c r="D150" s="63">
        <v>6629602088168</v>
      </c>
      <c r="E150" s="17">
        <v>8388738314302</v>
      </c>
      <c r="F150" s="64">
        <v>1173372411859</v>
      </c>
      <c r="G150" s="17">
        <v>1537407569930</v>
      </c>
      <c r="H150" s="13">
        <v>6851330744372</v>
      </c>
      <c r="I150" s="13">
        <v>2327212740306</v>
      </c>
      <c r="J150" s="13">
        <v>858990880436</v>
      </c>
      <c r="K150" s="55">
        <v>198100050000</v>
      </c>
      <c r="L150" s="13">
        <v>844447264297</v>
      </c>
      <c r="M150" s="13">
        <v>340305969036</v>
      </c>
      <c r="N150" s="31">
        <v>2009</v>
      </c>
      <c r="O150" s="66">
        <f t="shared" si="24"/>
        <v>14</v>
      </c>
    </row>
    <row r="151" spans="1:15" ht="22.5" customHeight="1" x14ac:dyDescent="0.2">
      <c r="A151" s="49"/>
      <c r="B151" s="44">
        <v>2024</v>
      </c>
      <c r="C151" s="61">
        <v>2558118381427</v>
      </c>
      <c r="D151" s="61">
        <v>6381406394346</v>
      </c>
      <c r="E151" s="35">
        <v>8939524775773</v>
      </c>
      <c r="F151" s="62">
        <v>1211130896357</v>
      </c>
      <c r="G151" s="35">
        <v>1606773141100</v>
      </c>
      <c r="H151" s="24">
        <v>7332751634673</v>
      </c>
      <c r="I151" s="13">
        <v>2482562025881</v>
      </c>
      <c r="J151" s="24">
        <v>1041332707516</v>
      </c>
      <c r="K151" s="46">
        <v>253946430000</v>
      </c>
      <c r="L151" s="13">
        <v>985662335301</v>
      </c>
      <c r="M151" s="13">
        <v>326665550086</v>
      </c>
      <c r="N151" s="31">
        <v>2009</v>
      </c>
      <c r="O151" s="56">
        <f t="shared" si="24"/>
        <v>15</v>
      </c>
    </row>
    <row r="152" spans="1:15" ht="22.5" customHeight="1" x14ac:dyDescent="0.2">
      <c r="A152" s="48" t="s">
        <v>40</v>
      </c>
      <c r="B152" s="42">
        <v>2019</v>
      </c>
      <c r="C152" s="168"/>
      <c r="D152" s="168"/>
      <c r="E152" s="168"/>
      <c r="F152" s="168"/>
      <c r="G152" s="169"/>
      <c r="H152" s="169"/>
      <c r="I152" s="13">
        <v>333987373000</v>
      </c>
      <c r="J152" s="168"/>
      <c r="K152" s="168"/>
      <c r="L152" s="168"/>
      <c r="M152" s="168"/>
      <c r="N152" s="169"/>
      <c r="O152" s="169"/>
    </row>
    <row r="153" spans="1:15" ht="22.5" customHeight="1" x14ac:dyDescent="0.2">
      <c r="A153" s="53"/>
      <c r="B153" s="37">
        <v>2020</v>
      </c>
      <c r="C153" s="72">
        <v>1628532997000</v>
      </c>
      <c r="D153" s="72">
        <v>5097472153000</v>
      </c>
      <c r="E153" s="29">
        <v>6726005150000</v>
      </c>
      <c r="F153" s="73">
        <v>285799992000</v>
      </c>
      <c r="G153" s="29">
        <v>963467166000</v>
      </c>
      <c r="H153" s="30">
        <v>5762537984000</v>
      </c>
      <c r="I153" s="13">
        <v>336776801000</v>
      </c>
      <c r="J153" s="30">
        <v>213145731000</v>
      </c>
      <c r="K153" s="76">
        <v>33533700000</v>
      </c>
      <c r="L153" s="13">
        <v>-89078551000</v>
      </c>
      <c r="M153" s="13">
        <v>2990143000</v>
      </c>
      <c r="N153" s="31">
        <v>2015</v>
      </c>
      <c r="O153" s="77">
        <f t="shared" ref="O153:O157" si="25">B153-N153</f>
        <v>5</v>
      </c>
    </row>
    <row r="154" spans="1:15" ht="22.5" customHeight="1" x14ac:dyDescent="0.2">
      <c r="A154" s="48"/>
      <c r="B154" s="42">
        <v>2021</v>
      </c>
      <c r="C154" s="63">
        <v>1153842689000</v>
      </c>
      <c r="D154" s="63">
        <v>5953461172000</v>
      </c>
      <c r="E154" s="17">
        <v>7107303861000</v>
      </c>
      <c r="F154" s="64">
        <v>180973209000</v>
      </c>
      <c r="G154" s="17">
        <v>949949854000</v>
      </c>
      <c r="H154" s="13">
        <v>6157354007000</v>
      </c>
      <c r="I154" s="13">
        <v>316572333000</v>
      </c>
      <c r="J154" s="30">
        <v>198622186000</v>
      </c>
      <c r="K154" s="65">
        <v>25921830000</v>
      </c>
      <c r="L154" s="13">
        <v>366262697000</v>
      </c>
      <c r="M154" s="13">
        <v>1242928000</v>
      </c>
      <c r="N154" s="31">
        <v>2015</v>
      </c>
      <c r="O154" s="71">
        <f t="shared" si="25"/>
        <v>6</v>
      </c>
    </row>
    <row r="155" spans="1:15" ht="22.5" customHeight="1" x14ac:dyDescent="0.2">
      <c r="A155" s="48"/>
      <c r="B155" s="42">
        <v>2022</v>
      </c>
      <c r="C155" s="16">
        <v>1713109771000</v>
      </c>
      <c r="D155" s="16">
        <v>5922760314000</v>
      </c>
      <c r="E155" s="17">
        <v>7635870085000</v>
      </c>
      <c r="F155" s="17">
        <v>347133808000</v>
      </c>
      <c r="G155" s="17">
        <v>1452118870000</v>
      </c>
      <c r="H155" s="13">
        <v>6183751215000</v>
      </c>
      <c r="I155" s="13">
        <v>334523481000</v>
      </c>
      <c r="J155" s="30">
        <v>215970302000</v>
      </c>
      <c r="K155" s="13">
        <v>34433930000</v>
      </c>
      <c r="L155" s="13">
        <v>194546174000</v>
      </c>
      <c r="M155" s="13">
        <v>1480424000</v>
      </c>
      <c r="N155" s="31">
        <v>2015</v>
      </c>
      <c r="O155" s="71">
        <f t="shared" si="25"/>
        <v>7</v>
      </c>
    </row>
    <row r="156" spans="1:15" ht="22.5" customHeight="1" x14ac:dyDescent="0.2">
      <c r="A156" s="48"/>
      <c r="B156" s="42">
        <v>2023</v>
      </c>
      <c r="C156" s="16">
        <v>759528309000</v>
      </c>
      <c r="D156" s="16">
        <v>5952443803000</v>
      </c>
      <c r="E156" s="17">
        <v>6711972112000</v>
      </c>
      <c r="F156" s="17">
        <v>717113026000</v>
      </c>
      <c r="G156" s="17">
        <v>2163000359000</v>
      </c>
      <c r="H156" s="13">
        <v>4548971753000</v>
      </c>
      <c r="I156" s="13">
        <v>348348965000</v>
      </c>
      <c r="J156" s="30">
        <v>216794583000</v>
      </c>
      <c r="K156" s="13">
        <v>34433930000</v>
      </c>
      <c r="L156" s="13">
        <v>113353569000</v>
      </c>
      <c r="M156" s="13">
        <v>1164458000</v>
      </c>
      <c r="N156" s="31">
        <v>2015</v>
      </c>
      <c r="O156" s="71">
        <f t="shared" si="25"/>
        <v>8</v>
      </c>
    </row>
    <row r="157" spans="1:15" ht="22.5" customHeight="1" x14ac:dyDescent="0.2">
      <c r="A157" s="49"/>
      <c r="B157" s="44">
        <v>2024</v>
      </c>
      <c r="C157" s="34">
        <v>311070239000</v>
      </c>
      <c r="D157" s="34">
        <v>6185016468000</v>
      </c>
      <c r="E157" s="35">
        <v>6496086707000</v>
      </c>
      <c r="F157" s="35">
        <v>119909273000</v>
      </c>
      <c r="G157" s="35">
        <v>1702537573000</v>
      </c>
      <c r="H157" s="24">
        <v>4793549134000</v>
      </c>
      <c r="I157" s="13">
        <v>343324859000</v>
      </c>
      <c r="J157" s="24">
        <v>204811674000</v>
      </c>
      <c r="K157" s="24">
        <v>35125810000</v>
      </c>
      <c r="L157" s="13">
        <v>250491360000</v>
      </c>
      <c r="M157" s="13">
        <v>1608269000</v>
      </c>
      <c r="N157" s="31">
        <v>2015</v>
      </c>
      <c r="O157" s="47">
        <f t="shared" si="25"/>
        <v>9</v>
      </c>
    </row>
    <row r="158" spans="1:15" ht="22.5" customHeight="1" x14ac:dyDescent="0.2">
      <c r="A158" s="48" t="s">
        <v>41</v>
      </c>
      <c r="B158" s="42">
        <v>2019</v>
      </c>
      <c r="C158" s="168"/>
      <c r="D158" s="168"/>
      <c r="E158" s="168"/>
      <c r="F158" s="168"/>
      <c r="G158" s="169"/>
      <c r="H158" s="169"/>
      <c r="I158" s="13">
        <v>1403758000000</v>
      </c>
      <c r="J158" s="168"/>
      <c r="K158" s="168"/>
      <c r="L158" s="168"/>
      <c r="M158" s="168"/>
      <c r="N158" s="169"/>
      <c r="O158" s="169"/>
    </row>
    <row r="159" spans="1:15" ht="22.5" customHeight="1" x14ac:dyDescent="0.2">
      <c r="A159" s="48"/>
      <c r="B159" s="42">
        <v>2020</v>
      </c>
      <c r="C159" s="16">
        <v>3228851000000</v>
      </c>
      <c r="D159" s="16">
        <v>2703632000000</v>
      </c>
      <c r="E159" s="35">
        <v>5932483000000</v>
      </c>
      <c r="F159" s="21">
        <v>1225524000000</v>
      </c>
      <c r="G159" s="17">
        <v>1855546000000</v>
      </c>
      <c r="H159" s="13">
        <v>4076937000000</v>
      </c>
      <c r="I159" s="13">
        <v>1110650000000</v>
      </c>
      <c r="J159" s="13">
        <v>304015000000</v>
      </c>
      <c r="K159" s="13">
        <v>48655000000</v>
      </c>
      <c r="L159" s="13">
        <v>286307000000</v>
      </c>
      <c r="M159" s="13">
        <v>29199000000</v>
      </c>
      <c r="N159" s="25">
        <v>2011</v>
      </c>
      <c r="O159" s="18">
        <f t="shared" ref="O159:O163" si="26">B159-N159</f>
        <v>9</v>
      </c>
    </row>
    <row r="160" spans="1:15" ht="22.5" customHeight="1" x14ac:dyDescent="0.2">
      <c r="A160" s="48"/>
      <c r="B160" s="42">
        <v>2021</v>
      </c>
      <c r="C160" s="16">
        <v>3386270000000</v>
      </c>
      <c r="D160" s="16">
        <v>3023278000000</v>
      </c>
      <c r="E160" s="35">
        <v>6409548000000</v>
      </c>
      <c r="F160" s="17">
        <v>1391162000000</v>
      </c>
      <c r="G160" s="17">
        <v>2003374000000</v>
      </c>
      <c r="H160" s="13">
        <v>4406174000000</v>
      </c>
      <c r="I160" s="13">
        <v>1199074000000</v>
      </c>
      <c r="J160" s="13">
        <v>396411000000</v>
      </c>
      <c r="K160" s="13">
        <v>49923000000</v>
      </c>
      <c r="L160" s="13">
        <v>380666000000</v>
      </c>
      <c r="M160" s="13">
        <v>24905000000</v>
      </c>
      <c r="N160" s="25">
        <v>2011</v>
      </c>
      <c r="O160" s="18">
        <f t="shared" si="26"/>
        <v>10</v>
      </c>
    </row>
    <row r="161" spans="1:15" ht="22.5" customHeight="1" x14ac:dyDescent="0.2">
      <c r="A161" s="48"/>
      <c r="B161" s="42">
        <v>2022</v>
      </c>
      <c r="C161" s="16">
        <v>3806290000000</v>
      </c>
      <c r="D161" s="16">
        <v>2929605000000</v>
      </c>
      <c r="E161" s="35">
        <v>6735895000000</v>
      </c>
      <c r="F161" s="17">
        <v>1437529000000</v>
      </c>
      <c r="G161" s="17">
        <v>1981223000000</v>
      </c>
      <c r="H161" s="13">
        <v>4754672000000</v>
      </c>
      <c r="I161" s="13">
        <v>1384828000000</v>
      </c>
      <c r="J161" s="13">
        <v>425728000000</v>
      </c>
      <c r="K161" s="13">
        <v>58697000000</v>
      </c>
      <c r="L161" s="13">
        <v>417934000000</v>
      </c>
      <c r="M161" s="13">
        <v>31640000000</v>
      </c>
      <c r="N161" s="25">
        <v>2011</v>
      </c>
      <c r="O161" s="18">
        <f t="shared" si="26"/>
        <v>11</v>
      </c>
    </row>
    <row r="162" spans="1:15" ht="22.5" customHeight="1" x14ac:dyDescent="0.2">
      <c r="A162" s="48"/>
      <c r="B162" s="42">
        <v>2023</v>
      </c>
      <c r="C162" s="78">
        <v>3993627000000</v>
      </c>
      <c r="D162" s="16">
        <v>3227084000000</v>
      </c>
      <c r="E162" s="35">
        <v>7220711000000</v>
      </c>
      <c r="F162" s="58">
        <v>1538224000000</v>
      </c>
      <c r="G162" s="17">
        <v>2071569000000</v>
      </c>
      <c r="H162" s="13">
        <v>5149142000000</v>
      </c>
      <c r="I162" s="13">
        <v>1704996000000</v>
      </c>
      <c r="J162" s="13">
        <v>502934000000</v>
      </c>
      <c r="K162" s="13">
        <v>73568000000</v>
      </c>
      <c r="L162" s="13">
        <v>492910000000</v>
      </c>
      <c r="M162" s="13">
        <v>40232000000</v>
      </c>
      <c r="N162" s="25">
        <v>2011</v>
      </c>
      <c r="O162" s="40">
        <f t="shared" si="26"/>
        <v>12</v>
      </c>
    </row>
    <row r="163" spans="1:15" ht="22.5" customHeight="1" x14ac:dyDescent="0.2">
      <c r="A163" s="49"/>
      <c r="B163" s="44">
        <v>2024</v>
      </c>
      <c r="C163" s="34">
        <v>4212165000000</v>
      </c>
      <c r="D163" s="34">
        <v>3223328000000</v>
      </c>
      <c r="E163" s="35">
        <v>7435493000000</v>
      </c>
      <c r="F163" s="35">
        <v>1322043000000</v>
      </c>
      <c r="G163" s="35">
        <v>1845588000000</v>
      </c>
      <c r="H163" s="24">
        <v>5589905000000</v>
      </c>
      <c r="I163" s="13">
        <v>2020780000000</v>
      </c>
      <c r="J163" s="24">
        <v>537482000000</v>
      </c>
      <c r="K163" s="24">
        <v>82954000000</v>
      </c>
      <c r="L163" s="13">
        <v>530017000000</v>
      </c>
      <c r="M163" s="13">
        <v>48455000000</v>
      </c>
      <c r="N163" s="25">
        <v>2011</v>
      </c>
      <c r="O163" s="56">
        <f t="shared" si="26"/>
        <v>13</v>
      </c>
    </row>
    <row r="164" spans="1:15" ht="22.5" customHeight="1" x14ac:dyDescent="0.2">
      <c r="A164" s="48" t="s">
        <v>42</v>
      </c>
      <c r="B164" s="42">
        <v>2019</v>
      </c>
      <c r="C164" s="168"/>
      <c r="D164" s="168"/>
      <c r="E164" s="168"/>
      <c r="F164" s="168"/>
      <c r="G164" s="169"/>
      <c r="H164" s="169"/>
      <c r="I164" s="13">
        <v>29614763971</v>
      </c>
      <c r="J164" s="168"/>
      <c r="K164" s="168"/>
      <c r="L164" s="168"/>
      <c r="M164" s="168"/>
      <c r="N164" s="169"/>
      <c r="O164" s="169"/>
    </row>
    <row r="165" spans="1:15" ht="22.5" customHeight="1" x14ac:dyDescent="0.2">
      <c r="A165" s="48"/>
      <c r="B165" s="79">
        <v>2020</v>
      </c>
      <c r="C165" s="16">
        <v>22399616199</v>
      </c>
      <c r="D165" s="16">
        <v>50521745852</v>
      </c>
      <c r="E165" s="35">
        <v>72921362051</v>
      </c>
      <c r="F165" s="17">
        <v>14484565017</v>
      </c>
      <c r="G165" s="17">
        <v>27817215164</v>
      </c>
      <c r="H165" s="13">
        <v>45104146887</v>
      </c>
      <c r="I165" s="13">
        <v>22905174633</v>
      </c>
      <c r="J165" s="80">
        <v>-10704989018</v>
      </c>
      <c r="K165" s="13">
        <v>1538262206</v>
      </c>
      <c r="L165" s="13">
        <v>-8716984332</v>
      </c>
      <c r="M165" s="13">
        <v>1475234846</v>
      </c>
      <c r="N165" s="25">
        <v>1992</v>
      </c>
      <c r="O165" s="18">
        <f t="shared" ref="O165:O168" si="27">B165-N165</f>
        <v>28</v>
      </c>
    </row>
    <row r="166" spans="1:15" ht="22.5" customHeight="1" x14ac:dyDescent="0.2">
      <c r="A166" s="48"/>
      <c r="B166" s="81">
        <v>2021</v>
      </c>
      <c r="C166" s="16">
        <v>35841993100</v>
      </c>
      <c r="D166" s="16">
        <v>34085112828</v>
      </c>
      <c r="E166" s="35">
        <v>69927105928</v>
      </c>
      <c r="F166" s="17">
        <v>15589100213</v>
      </c>
      <c r="G166" s="17">
        <v>27228089007</v>
      </c>
      <c r="H166" s="13">
        <v>42699016921</v>
      </c>
      <c r="I166" s="13">
        <v>27015774778</v>
      </c>
      <c r="J166" s="82">
        <v>-3231040693</v>
      </c>
      <c r="K166" s="13">
        <v>3151745858</v>
      </c>
      <c r="L166" s="13">
        <v>-3121418234</v>
      </c>
      <c r="M166" s="13">
        <v>1261981130</v>
      </c>
      <c r="N166" s="25">
        <v>1992</v>
      </c>
      <c r="O166" s="18">
        <f t="shared" si="27"/>
        <v>29</v>
      </c>
    </row>
    <row r="167" spans="1:15" ht="22.5" customHeight="1" x14ac:dyDescent="0.2">
      <c r="A167" s="48"/>
      <c r="B167" s="83">
        <v>2022</v>
      </c>
      <c r="C167" s="16">
        <v>38582221793</v>
      </c>
      <c r="D167" s="16">
        <v>23301329517</v>
      </c>
      <c r="E167" s="35">
        <v>61883551310</v>
      </c>
      <c r="F167" s="17">
        <v>14264621563</v>
      </c>
      <c r="G167" s="17">
        <v>25598023852</v>
      </c>
      <c r="H167" s="13">
        <v>36285527458</v>
      </c>
      <c r="I167" s="13">
        <v>21747242062</v>
      </c>
      <c r="J167" s="84">
        <v>-8666399638</v>
      </c>
      <c r="K167" s="13">
        <v>1511991496</v>
      </c>
      <c r="L167" s="13">
        <v>-6947090119</v>
      </c>
      <c r="M167" s="13">
        <v>1597666456</v>
      </c>
      <c r="N167" s="25">
        <v>1992</v>
      </c>
      <c r="O167" s="18">
        <f t="shared" si="27"/>
        <v>30</v>
      </c>
    </row>
    <row r="168" spans="1:15" ht="22.5" customHeight="1" x14ac:dyDescent="0.2">
      <c r="A168" s="48"/>
      <c r="B168" s="81">
        <v>2023</v>
      </c>
      <c r="C168" s="16">
        <v>32757098942</v>
      </c>
      <c r="D168" s="16">
        <v>22462676832</v>
      </c>
      <c r="E168" s="35">
        <v>55219775774</v>
      </c>
      <c r="F168" s="17">
        <v>14538827598</v>
      </c>
      <c r="G168" s="17">
        <v>26046650758</v>
      </c>
      <c r="H168" s="13">
        <v>29173125016</v>
      </c>
      <c r="I168" s="13">
        <v>25517108065</v>
      </c>
      <c r="J168" s="82">
        <v>-6340879412</v>
      </c>
      <c r="K168" s="13">
        <v>1632311512</v>
      </c>
      <c r="L168" s="13">
        <v>-7269897244</v>
      </c>
      <c r="M168" s="13">
        <v>2201371830</v>
      </c>
      <c r="N168" s="25">
        <v>1992</v>
      </c>
      <c r="O168" s="18">
        <f t="shared" si="27"/>
        <v>31</v>
      </c>
    </row>
    <row r="169" spans="1:15" ht="22.5" customHeight="1" x14ac:dyDescent="0.2">
      <c r="A169" s="49"/>
      <c r="B169" s="85">
        <v>2024</v>
      </c>
      <c r="C169" s="34">
        <v>28013807322</v>
      </c>
      <c r="D169" s="34">
        <v>21359841736</v>
      </c>
      <c r="E169" s="35">
        <v>49373649058</v>
      </c>
      <c r="F169" s="35">
        <v>11586909575</v>
      </c>
      <c r="G169" s="35">
        <v>21255470923</v>
      </c>
      <c r="H169" s="24">
        <v>28118178135</v>
      </c>
      <c r="I169" s="13">
        <v>27462614300</v>
      </c>
      <c r="J169" s="86">
        <v>-1278459412</v>
      </c>
      <c r="K169" s="24">
        <v>2351215461</v>
      </c>
      <c r="L169" s="13">
        <v>-1437410828</v>
      </c>
      <c r="M169" s="13">
        <v>1441254070</v>
      </c>
      <c r="N169" s="25">
        <v>1992</v>
      </c>
      <c r="O169" s="25">
        <f>B169-N169</f>
        <v>32</v>
      </c>
    </row>
    <row r="170" spans="1:15" ht="22.5" customHeight="1" x14ac:dyDescent="0.2">
      <c r="A170" s="48" t="s">
        <v>43</v>
      </c>
      <c r="B170" s="42">
        <v>2019</v>
      </c>
      <c r="C170" s="168"/>
      <c r="D170" s="168"/>
      <c r="E170" s="168"/>
      <c r="F170" s="168"/>
      <c r="G170" s="169"/>
      <c r="H170" s="169"/>
      <c r="I170" s="13">
        <v>158627073228</v>
      </c>
      <c r="J170" s="168"/>
      <c r="K170" s="168"/>
      <c r="L170" s="168"/>
      <c r="M170" s="168"/>
      <c r="N170" s="169"/>
      <c r="O170" s="169"/>
    </row>
    <row r="171" spans="1:15" ht="22.5" customHeight="1" x14ac:dyDescent="0.2">
      <c r="A171" s="48"/>
      <c r="B171" s="42">
        <v>2020</v>
      </c>
      <c r="C171" s="16">
        <v>243280519661</v>
      </c>
      <c r="D171" s="16">
        <v>3890708154366</v>
      </c>
      <c r="E171" s="17">
        <v>4133988674027</v>
      </c>
      <c r="F171" s="17">
        <v>279267714078</v>
      </c>
      <c r="G171" s="17">
        <v>584063261293</v>
      </c>
      <c r="H171" s="13">
        <v>3549925412734</v>
      </c>
      <c r="I171" s="13">
        <v>72735015093</v>
      </c>
      <c r="J171" s="13">
        <v>-202751662591</v>
      </c>
      <c r="K171" s="13">
        <v>12589360000</v>
      </c>
      <c r="L171" s="13">
        <v>-222986825963</v>
      </c>
      <c r="M171" s="13">
        <v>10541251906</v>
      </c>
      <c r="N171" s="18">
        <v>1994</v>
      </c>
      <c r="O171" s="18">
        <f t="shared" ref="O171:O175" si="28">B171-N171</f>
        <v>26</v>
      </c>
    </row>
    <row r="172" spans="1:15" ht="22.5" customHeight="1" x14ac:dyDescent="0.2">
      <c r="A172" s="87"/>
      <c r="B172" s="9">
        <v>2021</v>
      </c>
      <c r="C172" s="16">
        <v>279230950856</v>
      </c>
      <c r="D172" s="16">
        <v>3830358078771</v>
      </c>
      <c r="E172" s="17">
        <v>4109589029627</v>
      </c>
      <c r="F172" s="17">
        <v>571929180062</v>
      </c>
      <c r="G172" s="17">
        <v>718406241142</v>
      </c>
      <c r="H172" s="13">
        <v>3391182788485</v>
      </c>
      <c r="I172" s="13">
        <v>85195697693</v>
      </c>
      <c r="J172" s="13">
        <v>-160023153530</v>
      </c>
      <c r="K172" s="13">
        <v>4278990000</v>
      </c>
      <c r="L172" s="13">
        <v>-170621337468</v>
      </c>
      <c r="M172" s="13">
        <v>6658359709</v>
      </c>
      <c r="N172" s="18">
        <v>1994</v>
      </c>
      <c r="O172" s="18">
        <f t="shared" si="28"/>
        <v>27</v>
      </c>
    </row>
    <row r="173" spans="1:15" ht="22.5" customHeight="1" x14ac:dyDescent="0.2">
      <c r="A173" s="87"/>
      <c r="B173" s="9">
        <v>2022</v>
      </c>
      <c r="C173" s="16">
        <v>321382846875</v>
      </c>
      <c r="D173" s="16">
        <v>3668299957646</v>
      </c>
      <c r="E173" s="17">
        <v>3989682804521</v>
      </c>
      <c r="F173" s="17">
        <v>710135539228</v>
      </c>
      <c r="G173" s="17">
        <v>827629121014</v>
      </c>
      <c r="H173" s="13">
        <v>3162053683507</v>
      </c>
      <c r="I173" s="13">
        <v>88296513447</v>
      </c>
      <c r="J173" s="13">
        <v>-229635347920</v>
      </c>
      <c r="K173" s="13">
        <v>3860950000</v>
      </c>
      <c r="L173" s="13">
        <v>-235810272617</v>
      </c>
      <c r="M173" s="13">
        <v>5628915440</v>
      </c>
      <c r="N173" s="18">
        <v>1994</v>
      </c>
      <c r="O173" s="18">
        <f t="shared" si="28"/>
        <v>28</v>
      </c>
    </row>
    <row r="174" spans="1:15" ht="22.5" customHeight="1" x14ac:dyDescent="0.2">
      <c r="A174" s="87"/>
      <c r="B174" s="9">
        <v>2023</v>
      </c>
      <c r="C174" s="16">
        <v>82930025447</v>
      </c>
      <c r="D174" s="16">
        <v>3931651241751</v>
      </c>
      <c r="E174" s="17">
        <v>4014581267198</v>
      </c>
      <c r="F174" s="17">
        <v>295042752096</v>
      </c>
      <c r="G174" s="17">
        <v>411372974666</v>
      </c>
      <c r="H174" s="13">
        <v>3603208292532</v>
      </c>
      <c r="I174" s="13">
        <v>71374127445</v>
      </c>
      <c r="J174" s="13">
        <v>-158985110200</v>
      </c>
      <c r="K174" s="13">
        <v>4969590000</v>
      </c>
      <c r="L174" s="13">
        <v>-164441180567</v>
      </c>
      <c r="M174" s="13">
        <v>3931432088</v>
      </c>
      <c r="N174" s="18">
        <v>1994</v>
      </c>
      <c r="O174" s="18">
        <f t="shared" si="28"/>
        <v>29</v>
      </c>
    </row>
    <row r="175" spans="1:15" ht="22.5" customHeight="1" x14ac:dyDescent="0.2">
      <c r="A175" s="88"/>
      <c r="B175" s="89">
        <v>2024</v>
      </c>
      <c r="C175" s="34">
        <v>68088139217</v>
      </c>
      <c r="D175" s="34">
        <v>3953585310313</v>
      </c>
      <c r="E175" s="35">
        <v>4021673449530</v>
      </c>
      <c r="F175" s="35">
        <v>468142664241</v>
      </c>
      <c r="G175" s="35">
        <v>554111567130</v>
      </c>
      <c r="H175" s="24">
        <v>3467561882400</v>
      </c>
      <c r="I175" s="13">
        <v>63450385158</v>
      </c>
      <c r="J175" s="24">
        <v>-141986705890</v>
      </c>
      <c r="K175" s="24">
        <v>3018905930</v>
      </c>
      <c r="L175" s="13">
        <v>-146977405459</v>
      </c>
      <c r="M175" s="13">
        <v>3736980211</v>
      </c>
      <c r="N175" s="18">
        <v>1994</v>
      </c>
      <c r="O175" s="25">
        <f t="shared" si="28"/>
        <v>30</v>
      </c>
    </row>
    <row r="176" spans="1:15" ht="22.5" customHeight="1" x14ac:dyDescent="0.2">
      <c r="A176" s="87" t="s">
        <v>44</v>
      </c>
      <c r="B176" s="9">
        <v>2019</v>
      </c>
      <c r="C176" s="168"/>
      <c r="D176" s="168"/>
      <c r="E176" s="168"/>
      <c r="F176" s="168"/>
      <c r="G176" s="169"/>
      <c r="H176" s="169"/>
      <c r="I176" s="13">
        <v>1477975543000</v>
      </c>
      <c r="J176" s="168"/>
      <c r="K176" s="168"/>
      <c r="L176" s="168"/>
      <c r="M176" s="168"/>
      <c r="N176" s="169"/>
      <c r="O176" s="169"/>
    </row>
    <row r="177" spans="1:15" ht="22.5" customHeight="1" x14ac:dyDescent="0.2">
      <c r="A177" s="87"/>
      <c r="B177" s="9">
        <v>2020</v>
      </c>
      <c r="C177" s="16">
        <v>1234393319000</v>
      </c>
      <c r="D177" s="16">
        <v>10581518172000</v>
      </c>
      <c r="E177" s="17">
        <v>11815911491000</v>
      </c>
      <c r="F177" s="17">
        <v>418601976000</v>
      </c>
      <c r="G177" s="17">
        <v>1162324697000</v>
      </c>
      <c r="H177" s="13">
        <v>10653586794000</v>
      </c>
      <c r="I177" s="13">
        <v>927495382000</v>
      </c>
      <c r="J177" s="13">
        <v>-566066140000</v>
      </c>
      <c r="K177" s="13">
        <v>64885310000</v>
      </c>
      <c r="L177" s="13">
        <v>-575176897000</v>
      </c>
      <c r="M177" s="13">
        <v>56324616000</v>
      </c>
      <c r="N177" s="18">
        <v>1992</v>
      </c>
      <c r="O177" s="18">
        <f t="shared" ref="O177:O181" si="29">B177-N177</f>
        <v>28</v>
      </c>
    </row>
    <row r="178" spans="1:15" ht="22.5" customHeight="1" x14ac:dyDescent="0.2">
      <c r="A178" s="87"/>
      <c r="B178" s="9">
        <v>2021</v>
      </c>
      <c r="C178" s="16">
        <v>1180759128000</v>
      </c>
      <c r="D178" s="16">
        <v>10790933427000</v>
      </c>
      <c r="E178" s="17">
        <v>11971692555000</v>
      </c>
      <c r="F178" s="17">
        <v>457680363000</v>
      </c>
      <c r="G178" s="17">
        <v>1174237380000</v>
      </c>
      <c r="H178" s="13">
        <v>10797455175000</v>
      </c>
      <c r="I178" s="13">
        <v>871499152000</v>
      </c>
      <c r="J178" s="13">
        <v>505942500000</v>
      </c>
      <c r="K178" s="13">
        <v>118429890000</v>
      </c>
      <c r="L178" s="13">
        <v>447757412000</v>
      </c>
      <c r="M178" s="13">
        <v>50957166000</v>
      </c>
      <c r="N178" s="18">
        <v>1992</v>
      </c>
      <c r="O178" s="18">
        <f t="shared" si="29"/>
        <v>29</v>
      </c>
    </row>
    <row r="179" spans="1:15" ht="22.5" customHeight="1" x14ac:dyDescent="0.2">
      <c r="A179" s="87"/>
      <c r="B179" s="9">
        <v>2022</v>
      </c>
      <c r="C179" s="16">
        <v>1285035046000</v>
      </c>
      <c r="D179" s="16">
        <v>11084585345000</v>
      </c>
      <c r="E179" s="17">
        <v>12369620391000</v>
      </c>
      <c r="F179" s="17">
        <v>580745662000</v>
      </c>
      <c r="G179" s="17">
        <v>1324547597000</v>
      </c>
      <c r="H179" s="13">
        <v>11045072794000</v>
      </c>
      <c r="I179" s="13">
        <v>1096117308000</v>
      </c>
      <c r="J179" s="13">
        <v>582448565000</v>
      </c>
      <c r="K179" s="13">
        <v>105587030000</v>
      </c>
      <c r="L179" s="13">
        <v>557392413000</v>
      </c>
      <c r="M179" s="13">
        <v>59296608000</v>
      </c>
      <c r="N179" s="18">
        <v>1992</v>
      </c>
      <c r="O179" s="18">
        <f t="shared" si="29"/>
        <v>30</v>
      </c>
    </row>
    <row r="180" spans="1:15" ht="22.5" customHeight="1" x14ac:dyDescent="0.2">
      <c r="A180" s="87"/>
      <c r="B180" s="9">
        <v>2023</v>
      </c>
      <c r="C180" s="16">
        <v>957722521000</v>
      </c>
      <c r="D180" s="16">
        <v>11284791589000</v>
      </c>
      <c r="E180" s="17">
        <v>12242514110000</v>
      </c>
      <c r="F180" s="17">
        <v>567841769000</v>
      </c>
      <c r="G180" s="17">
        <v>1353259439000</v>
      </c>
      <c r="H180" s="13">
        <v>10889254671000</v>
      </c>
      <c r="I180" s="13">
        <v>1299256143000</v>
      </c>
      <c r="J180" s="13">
        <v>658890904000</v>
      </c>
      <c r="K180" s="13">
        <v>122669970000</v>
      </c>
      <c r="L180" s="13">
        <v>613266995000</v>
      </c>
      <c r="M180" s="13">
        <v>52672748000</v>
      </c>
      <c r="N180" s="18">
        <v>1992</v>
      </c>
      <c r="O180" s="18">
        <f t="shared" si="29"/>
        <v>31</v>
      </c>
    </row>
    <row r="181" spans="1:15" ht="22.5" customHeight="1" x14ac:dyDescent="0.2">
      <c r="A181" s="88"/>
      <c r="B181" s="89">
        <v>2024</v>
      </c>
      <c r="C181" s="34">
        <v>969995396000</v>
      </c>
      <c r="D181" s="34">
        <v>11797564208000</v>
      </c>
      <c r="E181" s="35">
        <v>12767559604000</v>
      </c>
      <c r="F181" s="35">
        <v>602407544000</v>
      </c>
      <c r="G181" s="35">
        <v>1417912848000</v>
      </c>
      <c r="H181" s="24">
        <v>11349646756000</v>
      </c>
      <c r="I181" s="13">
        <v>1386217604000</v>
      </c>
      <c r="J181" s="24">
        <v>1059555058000</v>
      </c>
      <c r="K181" s="24">
        <v>127163660000</v>
      </c>
      <c r="L181" s="13">
        <v>997540171000</v>
      </c>
      <c r="M181" s="13">
        <v>81873447000</v>
      </c>
      <c r="N181" s="18">
        <v>1992</v>
      </c>
      <c r="O181" s="25">
        <f t="shared" si="29"/>
        <v>32</v>
      </c>
    </row>
    <row r="182" spans="1:15" ht="22.5" customHeight="1" x14ac:dyDescent="0.2">
      <c r="A182" s="48" t="s">
        <v>45</v>
      </c>
      <c r="B182" s="9">
        <v>2019</v>
      </c>
      <c r="C182" s="168"/>
      <c r="D182" s="168"/>
      <c r="E182" s="168"/>
      <c r="F182" s="168"/>
      <c r="G182" s="169"/>
      <c r="H182" s="169"/>
      <c r="I182" s="13">
        <v>1624169492823</v>
      </c>
      <c r="J182" s="168"/>
      <c r="K182" s="168"/>
      <c r="L182" s="168"/>
      <c r="M182" s="168"/>
      <c r="N182" s="169"/>
      <c r="O182" s="169"/>
    </row>
    <row r="183" spans="1:15" ht="22.5" customHeight="1" x14ac:dyDescent="0.2">
      <c r="A183" s="36"/>
      <c r="B183" s="37">
        <v>2020</v>
      </c>
      <c r="C183" s="57">
        <v>8434403104119</v>
      </c>
      <c r="D183" s="57">
        <v>10062417944540</v>
      </c>
      <c r="E183" s="17">
        <v>18496821048659</v>
      </c>
      <c r="F183" s="17">
        <v>6056997852049</v>
      </c>
      <c r="G183" s="90">
        <v>14044751384971</v>
      </c>
      <c r="H183" s="24">
        <v>4452069663688</v>
      </c>
      <c r="I183" s="13">
        <v>2075242421357</v>
      </c>
      <c r="J183" s="13">
        <v>227436239946</v>
      </c>
      <c r="K183" s="91">
        <v>53776890000</v>
      </c>
      <c r="L183" s="13">
        <v>126494845856</v>
      </c>
      <c r="M183" s="13">
        <v>17237668665</v>
      </c>
      <c r="N183" s="31">
        <v>2015</v>
      </c>
      <c r="O183" s="60">
        <f t="shared" ref="O183:O187" si="30">B183-N183</f>
        <v>5</v>
      </c>
    </row>
    <row r="184" spans="1:15" ht="22.5" customHeight="1" x14ac:dyDescent="0.2">
      <c r="A184" s="26"/>
      <c r="B184" s="42">
        <v>2021</v>
      </c>
      <c r="C184" s="57">
        <v>13368116150617</v>
      </c>
      <c r="D184" s="57">
        <v>7718310932958</v>
      </c>
      <c r="E184" s="17">
        <v>21086427083575</v>
      </c>
      <c r="F184" s="17">
        <v>7562356662423</v>
      </c>
      <c r="G184" s="17">
        <v>16588283290255</v>
      </c>
      <c r="H184" s="22">
        <v>4498143793320</v>
      </c>
      <c r="I184" s="13">
        <v>862464587830</v>
      </c>
      <c r="J184" s="13">
        <v>158277623800</v>
      </c>
      <c r="K184" s="91">
        <v>23727500000</v>
      </c>
      <c r="L184" s="13">
        <v>21019897927</v>
      </c>
      <c r="M184" s="13">
        <v>18440461894</v>
      </c>
      <c r="N184" s="31">
        <v>2015</v>
      </c>
      <c r="O184" s="60">
        <f t="shared" si="30"/>
        <v>6</v>
      </c>
    </row>
    <row r="185" spans="1:15" ht="22.5" customHeight="1" x14ac:dyDescent="0.2">
      <c r="A185" s="26"/>
      <c r="B185" s="42">
        <v>2022</v>
      </c>
      <c r="C185" s="57">
        <v>13620003874478</v>
      </c>
      <c r="D185" s="57">
        <v>8192995574191</v>
      </c>
      <c r="E185" s="17">
        <v>21812999448669</v>
      </c>
      <c r="F185" s="17">
        <v>8913509461861</v>
      </c>
      <c r="G185" s="17">
        <v>17257435445777</v>
      </c>
      <c r="H185" s="13">
        <v>4555564002892</v>
      </c>
      <c r="I185" s="13">
        <v>1704677634556</v>
      </c>
      <c r="J185" s="13">
        <v>147034522870</v>
      </c>
      <c r="K185" s="91">
        <v>42357070000</v>
      </c>
      <c r="L185" s="13">
        <v>24274414866</v>
      </c>
      <c r="M185" s="13">
        <v>37449270820</v>
      </c>
      <c r="N185" s="31">
        <v>2015</v>
      </c>
      <c r="O185" s="60">
        <f t="shared" si="30"/>
        <v>7</v>
      </c>
    </row>
    <row r="186" spans="1:15" ht="22.5" customHeight="1" x14ac:dyDescent="0.2">
      <c r="A186" s="26"/>
      <c r="B186" s="42">
        <v>2023</v>
      </c>
      <c r="C186" s="57">
        <v>13832422589315</v>
      </c>
      <c r="D186" s="20">
        <v>5860965899332</v>
      </c>
      <c r="E186" s="17">
        <v>19693388488647</v>
      </c>
      <c r="F186" s="17">
        <v>12463743273883</v>
      </c>
      <c r="G186" s="17">
        <v>16406624892866</v>
      </c>
      <c r="H186" s="22">
        <v>3286763595781</v>
      </c>
      <c r="I186" s="13">
        <v>983511392626</v>
      </c>
      <c r="J186" s="13">
        <v>-296123304510</v>
      </c>
      <c r="K186" s="91">
        <v>52650480000</v>
      </c>
      <c r="L186" s="13">
        <v>-1284104623688</v>
      </c>
      <c r="M186" s="13">
        <v>28435062040</v>
      </c>
      <c r="N186" s="31">
        <v>2015</v>
      </c>
      <c r="O186" s="60">
        <f t="shared" si="30"/>
        <v>8</v>
      </c>
    </row>
    <row r="187" spans="1:15" ht="22.5" customHeight="1" x14ac:dyDescent="0.2">
      <c r="A187" s="32"/>
      <c r="B187" s="44">
        <v>2024</v>
      </c>
      <c r="C187" s="34">
        <v>12827599705411</v>
      </c>
      <c r="D187" s="20">
        <v>5414535815886</v>
      </c>
      <c r="E187" s="35">
        <v>18242135521297</v>
      </c>
      <c r="F187" s="35">
        <v>10569112229802</v>
      </c>
      <c r="G187" s="35">
        <v>16045902179122</v>
      </c>
      <c r="H187" s="22">
        <v>2196233342175</v>
      </c>
      <c r="I187" s="13">
        <v>458507659754</v>
      </c>
      <c r="J187" s="24">
        <v>-196751323870</v>
      </c>
      <c r="K187" s="24">
        <v>22933170000</v>
      </c>
      <c r="L187" s="13">
        <v>-1091792684042</v>
      </c>
      <c r="M187" s="13">
        <v>23853923077</v>
      </c>
      <c r="N187" s="31">
        <v>2015</v>
      </c>
      <c r="O187" s="56">
        <f t="shared" si="30"/>
        <v>9</v>
      </c>
    </row>
    <row r="188" spans="1:15" ht="22.5" customHeight="1" x14ac:dyDescent="0.2">
      <c r="A188" s="48" t="s">
        <v>46</v>
      </c>
      <c r="B188" s="42">
        <v>2019</v>
      </c>
      <c r="C188" s="168"/>
      <c r="D188" s="168"/>
      <c r="E188" s="168"/>
      <c r="F188" s="168"/>
      <c r="G188" s="169"/>
      <c r="H188" s="169"/>
      <c r="I188" s="13">
        <v>67760136367</v>
      </c>
      <c r="J188" s="168"/>
      <c r="K188" s="168"/>
      <c r="L188" s="168"/>
      <c r="M188" s="168"/>
      <c r="N188" s="169"/>
      <c r="O188" s="169"/>
    </row>
    <row r="189" spans="1:15" ht="22.5" customHeight="1" x14ac:dyDescent="0.2">
      <c r="A189" s="48"/>
      <c r="B189" s="37">
        <v>2020</v>
      </c>
      <c r="C189" s="57">
        <v>239235411468</v>
      </c>
      <c r="D189" s="57">
        <v>282397185743</v>
      </c>
      <c r="E189" s="17">
        <v>521632597211</v>
      </c>
      <c r="F189" s="58">
        <v>32460422625</v>
      </c>
      <c r="G189" s="17">
        <v>204280317915</v>
      </c>
      <c r="H189" s="13">
        <v>317352279296</v>
      </c>
      <c r="I189" s="13">
        <v>55610141999</v>
      </c>
      <c r="J189" s="13">
        <v>-3315177458</v>
      </c>
      <c r="K189" s="91">
        <v>4247923676</v>
      </c>
      <c r="L189" s="13">
        <v>-23445488581</v>
      </c>
      <c r="M189" s="13">
        <v>8565013429</v>
      </c>
      <c r="N189" s="18">
        <v>1994</v>
      </c>
      <c r="O189" s="92">
        <f t="shared" ref="O189:O193" si="31">B189-N189</f>
        <v>26</v>
      </c>
    </row>
    <row r="190" spans="1:15" ht="22.5" customHeight="1" x14ac:dyDescent="0.2">
      <c r="A190" s="48"/>
      <c r="B190" s="42">
        <v>2021</v>
      </c>
      <c r="C190" s="57">
        <v>231727305908</v>
      </c>
      <c r="D190" s="57">
        <v>260276637621</v>
      </c>
      <c r="E190" s="17">
        <v>492003943529</v>
      </c>
      <c r="F190" s="58">
        <v>25169388600</v>
      </c>
      <c r="G190" s="17">
        <v>190546059153</v>
      </c>
      <c r="H190" s="13">
        <v>301457884376</v>
      </c>
      <c r="I190" s="13">
        <v>55258490602</v>
      </c>
      <c r="J190" s="13">
        <v>2784861635</v>
      </c>
      <c r="K190" s="91">
        <v>3119606584</v>
      </c>
      <c r="L190" s="13">
        <v>-17733938826</v>
      </c>
      <c r="M190" s="13">
        <v>8028275933</v>
      </c>
      <c r="N190" s="18">
        <v>1994</v>
      </c>
      <c r="O190" s="92">
        <f t="shared" si="31"/>
        <v>27</v>
      </c>
    </row>
    <row r="191" spans="1:15" ht="22.5" customHeight="1" x14ac:dyDescent="0.2">
      <c r="A191" s="48"/>
      <c r="B191" s="42">
        <v>2022</v>
      </c>
      <c r="C191" s="57">
        <v>384736911562</v>
      </c>
      <c r="D191" s="57">
        <v>266632160558</v>
      </c>
      <c r="E191" s="17">
        <v>651369072120</v>
      </c>
      <c r="F191" s="58">
        <v>63177226921</v>
      </c>
      <c r="G191" s="17">
        <v>70130902724</v>
      </c>
      <c r="H191" s="13">
        <v>581238169396</v>
      </c>
      <c r="I191" s="13">
        <v>471450188226</v>
      </c>
      <c r="J191" s="13">
        <v>306308745678</v>
      </c>
      <c r="K191" s="91">
        <v>11174581332</v>
      </c>
      <c r="L191" s="13">
        <v>279002702816</v>
      </c>
      <c r="M191" s="13">
        <v>7527403480</v>
      </c>
      <c r="N191" s="18">
        <v>1994</v>
      </c>
      <c r="O191" s="92">
        <f t="shared" si="31"/>
        <v>28</v>
      </c>
    </row>
    <row r="192" spans="1:15" ht="22.5" customHeight="1" x14ac:dyDescent="0.2">
      <c r="A192" s="48"/>
      <c r="B192" s="42">
        <v>2023</v>
      </c>
      <c r="C192" s="57">
        <v>245649847356</v>
      </c>
      <c r="D192" s="57">
        <v>286700606714</v>
      </c>
      <c r="E192" s="17">
        <v>532350454070</v>
      </c>
      <c r="F192" s="58">
        <v>10381077829</v>
      </c>
      <c r="G192" s="17">
        <v>15725076734</v>
      </c>
      <c r="H192" s="13">
        <v>516625377336</v>
      </c>
      <c r="I192" s="13">
        <v>37631882193</v>
      </c>
      <c r="J192" s="13">
        <v>-13403661437</v>
      </c>
      <c r="K192" s="91">
        <v>-235058388</v>
      </c>
      <c r="L192" s="13">
        <v>367040643</v>
      </c>
      <c r="M192" s="13">
        <v>3785294000</v>
      </c>
      <c r="N192" s="18">
        <v>1994</v>
      </c>
      <c r="O192" s="92">
        <f t="shared" si="31"/>
        <v>29</v>
      </c>
    </row>
    <row r="193" spans="1:15" ht="22.5" customHeight="1" x14ac:dyDescent="0.2">
      <c r="A193" s="49"/>
      <c r="B193" s="44">
        <v>2024</v>
      </c>
      <c r="C193" s="34">
        <v>253940086512</v>
      </c>
      <c r="D193" s="34">
        <v>275306782462</v>
      </c>
      <c r="E193" s="35">
        <v>529246868974</v>
      </c>
      <c r="F193" s="35">
        <v>14238662161</v>
      </c>
      <c r="G193" s="35">
        <v>19680490956</v>
      </c>
      <c r="H193" s="24">
        <v>509566378018</v>
      </c>
      <c r="I193" s="13">
        <v>41272617492</v>
      </c>
      <c r="J193" s="24">
        <v>-10746927995</v>
      </c>
      <c r="K193" s="24">
        <v>440388933</v>
      </c>
      <c r="L193" s="13">
        <v>-3450189119</v>
      </c>
      <c r="M193" s="13">
        <v>3722282811</v>
      </c>
      <c r="N193" s="18">
        <v>1994</v>
      </c>
      <c r="O193" s="47">
        <f t="shared" si="31"/>
        <v>30</v>
      </c>
    </row>
    <row r="194" spans="1:15" ht="22.5" customHeight="1" x14ac:dyDescent="0.2">
      <c r="A194" s="48" t="s">
        <v>47</v>
      </c>
      <c r="B194" s="42">
        <v>2019</v>
      </c>
      <c r="C194" s="168"/>
      <c r="D194" s="168"/>
      <c r="E194" s="168"/>
      <c r="F194" s="168"/>
      <c r="G194" s="169"/>
      <c r="H194" s="169"/>
      <c r="I194" s="13">
        <v>7202001193000</v>
      </c>
      <c r="J194" s="168"/>
      <c r="K194" s="168"/>
      <c r="L194" s="168"/>
      <c r="M194" s="168"/>
      <c r="N194" s="169"/>
      <c r="O194" s="169"/>
    </row>
    <row r="195" spans="1:15" ht="12.75" x14ac:dyDescent="0.2">
      <c r="A195" s="93"/>
      <c r="B195" s="37">
        <v>2020</v>
      </c>
      <c r="C195" s="94">
        <v>8590023831000</v>
      </c>
      <c r="D195" s="94">
        <v>17868781546000</v>
      </c>
      <c r="E195" s="95">
        <v>26458805377000</v>
      </c>
      <c r="F195" s="95">
        <v>4336698236000</v>
      </c>
      <c r="G195" s="96">
        <v>8860110106000</v>
      </c>
      <c r="H195" s="95">
        <v>17598695271000</v>
      </c>
      <c r="I195" s="95">
        <v>3977211311000</v>
      </c>
      <c r="J195" s="95">
        <v>1431993388000</v>
      </c>
      <c r="K195" s="95">
        <v>270843220000</v>
      </c>
      <c r="L195" s="95">
        <v>1119113010000</v>
      </c>
      <c r="M195" s="95">
        <v>137783754000</v>
      </c>
      <c r="N195" s="97">
        <v>1989</v>
      </c>
      <c r="O195" s="163">
        <f t="shared" ref="O195:O199" si="32">B195-N195</f>
        <v>31</v>
      </c>
    </row>
    <row r="196" spans="1:15" ht="12.75" x14ac:dyDescent="0.2">
      <c r="A196" s="99"/>
      <c r="B196" s="42">
        <v>2021</v>
      </c>
      <c r="C196" s="94">
        <v>11453040378000</v>
      </c>
      <c r="D196" s="94">
        <v>17413040751000</v>
      </c>
      <c r="E196" s="95">
        <v>28866081129000</v>
      </c>
      <c r="F196" s="95">
        <v>3018980942000</v>
      </c>
      <c r="G196" s="96">
        <v>9687642670000</v>
      </c>
      <c r="H196" s="95">
        <v>19178438459000</v>
      </c>
      <c r="I196" s="95">
        <v>5713272952000</v>
      </c>
      <c r="J196" s="95">
        <v>1872414694000</v>
      </c>
      <c r="K196" s="95">
        <v>302650560000</v>
      </c>
      <c r="L196" s="95">
        <v>1550434339000</v>
      </c>
      <c r="M196" s="95">
        <v>169198179000</v>
      </c>
      <c r="N196" s="97">
        <v>1989</v>
      </c>
      <c r="O196" s="163">
        <f t="shared" si="32"/>
        <v>32</v>
      </c>
    </row>
    <row r="197" spans="1:15" ht="12.75" x14ac:dyDescent="0.2">
      <c r="A197" s="99"/>
      <c r="B197" s="42">
        <v>2022</v>
      </c>
      <c r="C197" s="94">
        <v>12253466079000</v>
      </c>
      <c r="D197" s="94">
        <v>18348713837000</v>
      </c>
      <c r="E197" s="95">
        <v>30602179916000</v>
      </c>
      <c r="F197" s="95">
        <v>2633500064000</v>
      </c>
      <c r="G197" s="96">
        <v>9883903905000</v>
      </c>
      <c r="H197" s="95">
        <v>20718276011000</v>
      </c>
      <c r="I197" s="95">
        <v>5987432707000</v>
      </c>
      <c r="J197" s="95">
        <v>2167216914000</v>
      </c>
      <c r="K197" s="95">
        <v>347166330000</v>
      </c>
      <c r="L197" s="95">
        <v>1831130001000</v>
      </c>
      <c r="M197" s="95">
        <v>186709044000</v>
      </c>
      <c r="N197" s="97">
        <v>1989</v>
      </c>
      <c r="O197" s="163">
        <f t="shared" si="32"/>
        <v>33</v>
      </c>
    </row>
    <row r="198" spans="1:15" ht="12.75" x14ac:dyDescent="0.2">
      <c r="A198" s="99"/>
      <c r="B198" s="42">
        <v>2023</v>
      </c>
      <c r="C198" s="94">
        <v>13055426298000</v>
      </c>
      <c r="D198" s="94">
        <v>19655360685000</v>
      </c>
      <c r="E198" s="95">
        <v>32710786983000</v>
      </c>
      <c r="F198" s="95">
        <v>2532140718000</v>
      </c>
      <c r="G198" s="96">
        <v>9915452617000</v>
      </c>
      <c r="H198" s="95">
        <v>22795334366000</v>
      </c>
      <c r="I198" s="95">
        <v>6200438405000</v>
      </c>
      <c r="J198" s="95">
        <v>2747900434000</v>
      </c>
      <c r="K198" s="95">
        <v>387554770000</v>
      </c>
      <c r="L198" s="95">
        <v>2381869254000</v>
      </c>
      <c r="M198" s="95">
        <v>203952835000</v>
      </c>
      <c r="N198" s="97">
        <v>1989</v>
      </c>
      <c r="O198" s="163">
        <f t="shared" si="32"/>
        <v>34</v>
      </c>
    </row>
    <row r="199" spans="1:15" ht="12.75" x14ac:dyDescent="0.2">
      <c r="A199" s="100"/>
      <c r="B199" s="44">
        <v>2024</v>
      </c>
      <c r="C199" s="101">
        <v>14819401204000</v>
      </c>
      <c r="D199" s="101">
        <v>20551683945000</v>
      </c>
      <c r="E199" s="102">
        <v>35371085149000</v>
      </c>
      <c r="F199" s="103">
        <v>3107522292000</v>
      </c>
      <c r="G199" s="104">
        <v>10629087811000</v>
      </c>
      <c r="H199" s="103">
        <v>24741997338000</v>
      </c>
      <c r="I199" s="95">
        <v>6670808930000</v>
      </c>
      <c r="J199" s="103">
        <v>2813981428000</v>
      </c>
      <c r="K199" s="103">
        <v>432749460000</v>
      </c>
      <c r="L199" s="95">
        <v>2421707853000</v>
      </c>
      <c r="M199" s="95">
        <v>209401303000</v>
      </c>
      <c r="N199" s="97">
        <v>1989</v>
      </c>
      <c r="O199" s="164">
        <f t="shared" si="32"/>
        <v>35</v>
      </c>
    </row>
    <row r="200" spans="1:15" ht="12.75" x14ac:dyDescent="0.2">
      <c r="A200" s="99" t="s">
        <v>48</v>
      </c>
      <c r="B200" s="42">
        <v>2019</v>
      </c>
      <c r="C200" s="168"/>
      <c r="D200" s="168"/>
      <c r="E200" s="168"/>
      <c r="F200" s="168"/>
      <c r="G200" s="169"/>
      <c r="H200" s="170"/>
      <c r="I200" s="95">
        <v>94390791317</v>
      </c>
      <c r="J200" s="168"/>
      <c r="K200" s="168"/>
      <c r="L200" s="168"/>
      <c r="M200" s="168"/>
      <c r="N200" s="169"/>
      <c r="O200" s="170"/>
    </row>
    <row r="201" spans="1:15" ht="12.75" x14ac:dyDescent="0.2">
      <c r="A201" s="93"/>
      <c r="B201" s="37">
        <v>2020</v>
      </c>
      <c r="C201" s="106">
        <v>103726849704</v>
      </c>
      <c r="D201" s="107">
        <v>656719016138</v>
      </c>
      <c r="E201" s="95">
        <v>760445865842</v>
      </c>
      <c r="F201" s="108">
        <v>49986583175</v>
      </c>
      <c r="G201" s="95">
        <v>200695757269</v>
      </c>
      <c r="H201" s="95">
        <v>559750108573</v>
      </c>
      <c r="I201" s="95">
        <v>25316005286</v>
      </c>
      <c r="J201" s="95">
        <v>-35230165697</v>
      </c>
      <c r="K201" s="109">
        <v>1702520000</v>
      </c>
      <c r="L201" s="95">
        <v>-45421421796</v>
      </c>
      <c r="M201" s="95">
        <v>18128381894</v>
      </c>
      <c r="N201" s="97">
        <v>1997</v>
      </c>
      <c r="O201" s="163">
        <f t="shared" ref="O201:O205" si="33">B201-N201</f>
        <v>23</v>
      </c>
    </row>
    <row r="202" spans="1:15" ht="12.75" x14ac:dyDescent="0.2">
      <c r="A202" s="99"/>
      <c r="B202" s="42">
        <v>2021</v>
      </c>
      <c r="C202" s="106">
        <v>94977781333</v>
      </c>
      <c r="D202" s="107">
        <v>676119019265</v>
      </c>
      <c r="E202" s="95">
        <v>771096800598</v>
      </c>
      <c r="F202" s="108">
        <v>34013707388</v>
      </c>
      <c r="G202" s="95">
        <v>214953290839</v>
      </c>
      <c r="H202" s="95">
        <v>556143509759</v>
      </c>
      <c r="I202" s="95">
        <v>44538508242</v>
      </c>
      <c r="J202" s="95">
        <v>-15486185309</v>
      </c>
      <c r="K202" s="109">
        <v>1576790000</v>
      </c>
      <c r="L202" s="95">
        <v>-23700030500</v>
      </c>
      <c r="M202" s="95">
        <v>18968237931</v>
      </c>
      <c r="N202" s="97">
        <v>1997</v>
      </c>
      <c r="O202" s="163">
        <f t="shared" si="33"/>
        <v>24</v>
      </c>
    </row>
    <row r="203" spans="1:15" ht="12.75" x14ac:dyDescent="0.2">
      <c r="A203" s="99"/>
      <c r="B203" s="42">
        <v>2022</v>
      </c>
      <c r="C203" s="109">
        <v>83889314690</v>
      </c>
      <c r="D203" s="107">
        <v>633717446388</v>
      </c>
      <c r="E203" s="95">
        <v>717606761078</v>
      </c>
      <c r="F203" s="108">
        <v>41726958094</v>
      </c>
      <c r="G203" s="95">
        <v>198940136778</v>
      </c>
      <c r="H203" s="95">
        <v>518666624300</v>
      </c>
      <c r="I203" s="95">
        <v>115906538007</v>
      </c>
      <c r="J203" s="95">
        <v>-28358267912</v>
      </c>
      <c r="K203" s="109">
        <v>3468230000</v>
      </c>
      <c r="L203" s="95">
        <v>-39783212530</v>
      </c>
      <c r="M203" s="95">
        <v>20553551170</v>
      </c>
      <c r="N203" s="97">
        <v>1997</v>
      </c>
      <c r="O203" s="163">
        <f t="shared" si="33"/>
        <v>25</v>
      </c>
    </row>
    <row r="204" spans="1:15" ht="12.75" x14ac:dyDescent="0.2">
      <c r="A204" s="99"/>
      <c r="B204" s="42">
        <v>2023</v>
      </c>
      <c r="C204" s="109">
        <v>157676927511</v>
      </c>
      <c r="D204" s="107">
        <v>554402984444</v>
      </c>
      <c r="E204" s="95">
        <v>712079911955</v>
      </c>
      <c r="F204" s="108">
        <v>66563663335</v>
      </c>
      <c r="G204" s="95">
        <v>213839610198</v>
      </c>
      <c r="H204" s="95">
        <v>498240301757</v>
      </c>
      <c r="I204" s="95">
        <v>179626694402</v>
      </c>
      <c r="J204" s="95">
        <v>-7417547542</v>
      </c>
      <c r="K204" s="109">
        <v>1939690000</v>
      </c>
      <c r="L204" s="95">
        <v>-20706826771</v>
      </c>
      <c r="M204" s="95">
        <v>20770527055</v>
      </c>
      <c r="N204" s="97">
        <v>1997</v>
      </c>
      <c r="O204" s="163">
        <f t="shared" si="33"/>
        <v>26</v>
      </c>
    </row>
    <row r="205" spans="1:15" ht="12.75" x14ac:dyDescent="0.2">
      <c r="A205" s="100"/>
      <c r="B205" s="44">
        <v>2024</v>
      </c>
      <c r="C205" s="110">
        <v>244807360237</v>
      </c>
      <c r="D205" s="111">
        <v>514930232026</v>
      </c>
      <c r="E205" s="111">
        <v>759737592263</v>
      </c>
      <c r="F205" s="110">
        <v>163934557558</v>
      </c>
      <c r="G205" s="111">
        <v>289915039206</v>
      </c>
      <c r="H205" s="111">
        <v>469822553057</v>
      </c>
      <c r="I205" s="95">
        <v>159862412929</v>
      </c>
      <c r="J205" s="111">
        <v>-8092944464</v>
      </c>
      <c r="K205" s="95">
        <v>2533330000</v>
      </c>
      <c r="L205" s="95">
        <v>-28012304780</v>
      </c>
      <c r="M205" s="95">
        <v>20736149385</v>
      </c>
      <c r="N205" s="97">
        <v>1997</v>
      </c>
      <c r="O205" s="164">
        <f t="shared" si="33"/>
        <v>27</v>
      </c>
    </row>
    <row r="206" spans="1:15" ht="12.75" x14ac:dyDescent="0.2">
      <c r="A206" s="99" t="s">
        <v>49</v>
      </c>
      <c r="B206" s="19">
        <v>2019</v>
      </c>
      <c r="C206" s="168"/>
      <c r="D206" s="168"/>
      <c r="E206" s="168"/>
      <c r="F206" s="168"/>
      <c r="G206" s="169"/>
      <c r="H206" s="170"/>
      <c r="I206" s="95">
        <v>399418917052</v>
      </c>
      <c r="J206" s="168"/>
      <c r="K206" s="168"/>
      <c r="L206" s="168"/>
      <c r="M206" s="168"/>
      <c r="N206" s="169"/>
      <c r="O206" s="170"/>
    </row>
    <row r="207" spans="1:15" ht="12.75" x14ac:dyDescent="0.2">
      <c r="A207" s="93"/>
      <c r="B207" s="27">
        <v>2020</v>
      </c>
      <c r="C207" s="112">
        <v>307484383047</v>
      </c>
      <c r="D207" s="95">
        <v>2663577388667</v>
      </c>
      <c r="E207" s="95">
        <v>2971061771714</v>
      </c>
      <c r="F207" s="95">
        <v>111942149785</v>
      </c>
      <c r="G207" s="95">
        <v>234410089039</v>
      </c>
      <c r="H207" s="95">
        <v>2736651682675</v>
      </c>
      <c r="I207" s="95">
        <v>400749812577</v>
      </c>
      <c r="J207" s="95">
        <v>237002702000</v>
      </c>
      <c r="K207" s="95">
        <v>40212710000</v>
      </c>
      <c r="L207" s="95">
        <v>236087887526</v>
      </c>
      <c r="M207" s="95">
        <v>3782692755</v>
      </c>
      <c r="N207" s="97">
        <v>1990</v>
      </c>
      <c r="O207" s="163">
        <f t="shared" ref="O207:O211" si="34">B207-N207</f>
        <v>30</v>
      </c>
    </row>
    <row r="208" spans="1:15" ht="12.75" x14ac:dyDescent="0.2">
      <c r="A208" s="99"/>
      <c r="B208" s="19">
        <v>2021</v>
      </c>
      <c r="C208" s="112">
        <v>464028004432</v>
      </c>
      <c r="D208" s="95">
        <v>2697077352094</v>
      </c>
      <c r="E208" s="95">
        <v>3161105356526</v>
      </c>
      <c r="F208" s="95">
        <v>146965834672</v>
      </c>
      <c r="G208" s="95">
        <v>256434333798</v>
      </c>
      <c r="H208" s="95">
        <v>2904671022728</v>
      </c>
      <c r="I208" s="95">
        <v>413584008445</v>
      </c>
      <c r="J208" s="95">
        <v>196409115440</v>
      </c>
      <c r="K208" s="95">
        <v>41372740000</v>
      </c>
      <c r="L208" s="95">
        <v>195806481653</v>
      </c>
      <c r="M208" s="95">
        <v>3806716492</v>
      </c>
      <c r="N208" s="97">
        <v>1990</v>
      </c>
      <c r="O208" s="163">
        <f t="shared" si="34"/>
        <v>31</v>
      </c>
    </row>
    <row r="209" spans="1:15" ht="12.75" x14ac:dyDescent="0.2">
      <c r="A209" s="99"/>
      <c r="B209" s="19">
        <v>2022</v>
      </c>
      <c r="C209" s="112">
        <v>698376782276</v>
      </c>
      <c r="D209" s="95">
        <v>2688944221930</v>
      </c>
      <c r="E209" s="95">
        <v>3387321004206</v>
      </c>
      <c r="F209" s="95">
        <v>265294793194</v>
      </c>
      <c r="G209" s="95">
        <v>414789785669</v>
      </c>
      <c r="H209" s="95">
        <v>2972531218537</v>
      </c>
      <c r="I209" s="95">
        <v>509518139997</v>
      </c>
      <c r="J209" s="95">
        <v>272112172980</v>
      </c>
      <c r="K209" s="95">
        <v>51954850000</v>
      </c>
      <c r="L209" s="95">
        <v>270816725275</v>
      </c>
      <c r="M209" s="95">
        <v>5108726957</v>
      </c>
      <c r="N209" s="97">
        <v>1990</v>
      </c>
      <c r="O209" s="163">
        <f t="shared" si="34"/>
        <v>32</v>
      </c>
    </row>
    <row r="210" spans="1:15" ht="12.75" x14ac:dyDescent="0.2">
      <c r="A210" s="99"/>
      <c r="B210" s="19">
        <v>2023</v>
      </c>
      <c r="C210" s="112">
        <v>816054423929</v>
      </c>
      <c r="D210" s="95">
        <v>2624278617309</v>
      </c>
      <c r="E210" s="95">
        <v>3440333041238</v>
      </c>
      <c r="F210" s="95">
        <v>396998207733</v>
      </c>
      <c r="G210" s="95">
        <v>555135931061</v>
      </c>
      <c r="H210" s="95">
        <v>2885197110177</v>
      </c>
      <c r="I210" s="95">
        <v>533305976033</v>
      </c>
      <c r="J210" s="95">
        <v>303778907500</v>
      </c>
      <c r="K210" s="95">
        <v>53346680000</v>
      </c>
      <c r="L210" s="95">
        <v>302802252723</v>
      </c>
      <c r="M210" s="95">
        <v>15345308537</v>
      </c>
      <c r="N210" s="97">
        <v>1990</v>
      </c>
      <c r="O210" s="163">
        <f t="shared" si="34"/>
        <v>33</v>
      </c>
    </row>
    <row r="211" spans="1:15" ht="17.25" customHeight="1" x14ac:dyDescent="0.2">
      <c r="A211" s="100"/>
      <c r="B211" s="23">
        <v>2024</v>
      </c>
      <c r="C211" s="113">
        <v>929394999680</v>
      </c>
      <c r="D211" s="111">
        <v>2517677688293</v>
      </c>
      <c r="E211" s="95">
        <v>3447072687973</v>
      </c>
      <c r="F211" s="95">
        <v>249155186978</v>
      </c>
      <c r="G211" s="111">
        <v>408175686698</v>
      </c>
      <c r="H211" s="111">
        <v>3038897001275</v>
      </c>
      <c r="I211" s="95">
        <v>530656527387</v>
      </c>
      <c r="J211" s="95">
        <v>288961093750</v>
      </c>
      <c r="K211" s="111">
        <v>53133750000</v>
      </c>
      <c r="L211" s="95">
        <v>287868398051</v>
      </c>
      <c r="M211" s="95">
        <v>10425598591</v>
      </c>
      <c r="N211" s="97">
        <v>1990</v>
      </c>
      <c r="O211" s="164">
        <f t="shared" si="34"/>
        <v>34</v>
      </c>
    </row>
    <row r="212" spans="1:15" ht="17.25" customHeight="1" x14ac:dyDescent="0.2">
      <c r="A212" s="99" t="s">
        <v>50</v>
      </c>
      <c r="B212" s="19">
        <v>2019</v>
      </c>
      <c r="C212" s="168"/>
      <c r="D212" s="168"/>
      <c r="E212" s="168"/>
      <c r="F212" s="168"/>
      <c r="G212" s="169"/>
      <c r="H212" s="170"/>
      <c r="I212" s="95">
        <v>569374430798</v>
      </c>
      <c r="J212" s="168"/>
      <c r="K212" s="168"/>
      <c r="L212" s="168"/>
      <c r="M212" s="168"/>
      <c r="N212" s="169"/>
      <c r="O212" s="170"/>
    </row>
    <row r="213" spans="1:15" ht="17.25" customHeight="1" x14ac:dyDescent="0.2">
      <c r="A213" s="93"/>
      <c r="B213" s="27">
        <v>2020</v>
      </c>
      <c r="C213" s="115">
        <v>920069306444</v>
      </c>
      <c r="D213" s="116">
        <v>2281841597577</v>
      </c>
      <c r="E213" s="95">
        <v>3201910904021</v>
      </c>
      <c r="F213" s="95">
        <v>366957816969</v>
      </c>
      <c r="G213" s="116">
        <v>553905302046</v>
      </c>
      <c r="H213" s="116">
        <v>2648005601975</v>
      </c>
      <c r="I213" s="95">
        <v>386541149828</v>
      </c>
      <c r="J213" s="95">
        <v>37738004453</v>
      </c>
      <c r="K213" s="116">
        <v>6631570000</v>
      </c>
      <c r="L213" s="95">
        <v>18706792552</v>
      </c>
      <c r="M213" s="95">
        <v>19957753289</v>
      </c>
      <c r="N213" s="114">
        <v>1995</v>
      </c>
      <c r="O213" s="163">
        <f t="shared" ref="O213:O217" si="35">B213-N213</f>
        <v>25</v>
      </c>
    </row>
    <row r="214" spans="1:15" ht="17.25" customHeight="1" x14ac:dyDescent="0.2">
      <c r="A214" s="99"/>
      <c r="B214" s="42">
        <v>2021</v>
      </c>
      <c r="C214" s="112">
        <v>1029230974889</v>
      </c>
      <c r="D214" s="95">
        <v>2274280748262</v>
      </c>
      <c r="E214" s="95">
        <v>3303511723151</v>
      </c>
      <c r="F214" s="95">
        <v>433228532976</v>
      </c>
      <c r="G214" s="95">
        <v>523995257470</v>
      </c>
      <c r="H214" s="95">
        <v>2779516465681</v>
      </c>
      <c r="I214" s="95">
        <v>567052209003</v>
      </c>
      <c r="J214" s="95">
        <v>128918345650</v>
      </c>
      <c r="K214" s="95">
        <v>12595130000</v>
      </c>
      <c r="L214" s="95">
        <v>117647293156</v>
      </c>
      <c r="M214" s="95">
        <v>11838271841</v>
      </c>
      <c r="N214" s="114">
        <v>1995</v>
      </c>
      <c r="O214" s="163">
        <f t="shared" si="35"/>
        <v>26</v>
      </c>
    </row>
    <row r="215" spans="1:15" ht="17.25" customHeight="1" x14ac:dyDescent="0.2">
      <c r="A215" s="99"/>
      <c r="B215" s="42">
        <v>2022</v>
      </c>
      <c r="C215" s="112">
        <v>1133346707488</v>
      </c>
      <c r="D215" s="95">
        <v>2289931763348</v>
      </c>
      <c r="E215" s="95">
        <v>3423278470836</v>
      </c>
      <c r="F215" s="95">
        <v>251773035130</v>
      </c>
      <c r="G215" s="95">
        <v>463973692434</v>
      </c>
      <c r="H215" s="95">
        <v>2959304778402</v>
      </c>
      <c r="I215" s="95">
        <v>566402723465</v>
      </c>
      <c r="J215" s="95">
        <v>185882429550</v>
      </c>
      <c r="K215" s="95">
        <v>12615920000</v>
      </c>
      <c r="L215" s="95">
        <v>179796943605</v>
      </c>
      <c r="M215" s="95">
        <v>11724748719</v>
      </c>
      <c r="N215" s="114">
        <v>1995</v>
      </c>
      <c r="O215" s="163">
        <f t="shared" si="35"/>
        <v>27</v>
      </c>
    </row>
    <row r="216" spans="1:15" ht="17.25" customHeight="1" x14ac:dyDescent="0.2">
      <c r="A216" s="99"/>
      <c r="B216" s="42">
        <v>2023</v>
      </c>
      <c r="C216" s="112">
        <v>1240736456135</v>
      </c>
      <c r="D216" s="95">
        <v>2293852367860</v>
      </c>
      <c r="E216" s="95">
        <v>3534588823995</v>
      </c>
      <c r="F216" s="95">
        <v>245285930046</v>
      </c>
      <c r="G216" s="95">
        <v>476254570089</v>
      </c>
      <c r="H216" s="95">
        <v>3058334253906</v>
      </c>
      <c r="I216" s="95">
        <v>496497903464</v>
      </c>
      <c r="J216" s="95">
        <v>106362865980</v>
      </c>
      <c r="K216" s="95">
        <v>10495660000</v>
      </c>
      <c r="L216" s="95">
        <v>97309514650</v>
      </c>
      <c r="M216" s="95">
        <v>10809227772</v>
      </c>
      <c r="N216" s="114">
        <v>1995</v>
      </c>
      <c r="O216" s="163">
        <f t="shared" si="35"/>
        <v>28</v>
      </c>
    </row>
    <row r="217" spans="1:15" ht="17.25" customHeight="1" x14ac:dyDescent="0.2">
      <c r="A217" s="100"/>
      <c r="B217" s="44">
        <v>2024</v>
      </c>
      <c r="C217" s="112">
        <v>1133943611683</v>
      </c>
      <c r="D217" s="95">
        <v>2328328437232</v>
      </c>
      <c r="E217" s="95">
        <v>3462272048915</v>
      </c>
      <c r="F217" s="95">
        <v>162784977497</v>
      </c>
      <c r="G217" s="95">
        <v>251618246015</v>
      </c>
      <c r="H217" s="95">
        <v>3210653802900</v>
      </c>
      <c r="I217" s="95">
        <v>694045208919</v>
      </c>
      <c r="J217" s="95">
        <v>172763914225</v>
      </c>
      <c r="K217" s="95">
        <v>15360730000</v>
      </c>
      <c r="L217" s="95">
        <v>162603250072</v>
      </c>
      <c r="M217" s="95">
        <v>11343128992</v>
      </c>
      <c r="N217" s="114">
        <v>1995</v>
      </c>
      <c r="O217" s="164">
        <f t="shared" si="35"/>
        <v>29</v>
      </c>
    </row>
    <row r="218" spans="1:15" ht="12.75" x14ac:dyDescent="0.2">
      <c r="A218" s="99" t="s">
        <v>51</v>
      </c>
      <c r="B218" s="42">
        <v>2019</v>
      </c>
      <c r="C218" s="168"/>
      <c r="D218" s="168"/>
      <c r="E218" s="168"/>
      <c r="F218" s="168"/>
      <c r="G218" s="169"/>
      <c r="H218" s="170"/>
      <c r="I218" s="95">
        <v>5941625762000</v>
      </c>
      <c r="J218" s="168"/>
      <c r="K218" s="168"/>
      <c r="L218" s="168"/>
      <c r="M218" s="168"/>
      <c r="N218" s="169"/>
      <c r="O218" s="170"/>
    </row>
    <row r="219" spans="1:15" ht="12.75" x14ac:dyDescent="0.2">
      <c r="A219" s="117"/>
      <c r="B219" s="37">
        <v>2020</v>
      </c>
      <c r="C219" s="95">
        <v>11888917644000</v>
      </c>
      <c r="D219" s="118">
        <v>13033616580000</v>
      </c>
      <c r="E219" s="95">
        <v>24922534224000</v>
      </c>
      <c r="F219" s="106">
        <v>8359155158000</v>
      </c>
      <c r="G219" s="118">
        <v>15836845684000</v>
      </c>
      <c r="H219" s="119">
        <v>9085688540000</v>
      </c>
      <c r="I219" s="95">
        <v>5029984099000</v>
      </c>
      <c r="J219" s="108">
        <v>1275861880000</v>
      </c>
      <c r="K219" s="118">
        <v>193858370000</v>
      </c>
      <c r="L219" s="95">
        <v>245909143000</v>
      </c>
      <c r="M219" s="95">
        <v>73317908000</v>
      </c>
      <c r="N219" s="120">
        <v>1990</v>
      </c>
      <c r="O219" s="163">
        <f t="shared" ref="O219:O223" si="36">B219-N219</f>
        <v>30</v>
      </c>
    </row>
    <row r="220" spans="1:15" ht="12.75" x14ac:dyDescent="0.2">
      <c r="A220" s="121"/>
      <c r="B220" s="42">
        <v>2021</v>
      </c>
      <c r="C220" s="95">
        <v>13030535603000</v>
      </c>
      <c r="D220" s="95">
        <v>13019181075000</v>
      </c>
      <c r="E220" s="95">
        <v>26049716678000</v>
      </c>
      <c r="F220" s="95">
        <v>6968765921000</v>
      </c>
      <c r="G220" s="95">
        <v>14819493511000</v>
      </c>
      <c r="H220" s="95">
        <v>11230223167000</v>
      </c>
      <c r="I220" s="95">
        <v>5567912577000</v>
      </c>
      <c r="J220" s="108">
        <v>1557681128000</v>
      </c>
      <c r="K220" s="118">
        <v>206220630000</v>
      </c>
      <c r="L220" s="95">
        <v>549696051000</v>
      </c>
      <c r="M220" s="95">
        <v>63166845000</v>
      </c>
      <c r="N220" s="120">
        <v>1990</v>
      </c>
      <c r="O220" s="163">
        <f t="shared" si="36"/>
        <v>31</v>
      </c>
    </row>
    <row r="221" spans="1:15" ht="12.75" x14ac:dyDescent="0.2">
      <c r="A221" s="121"/>
      <c r="B221" s="42">
        <v>2022</v>
      </c>
      <c r="C221" s="95">
        <v>14290620589000</v>
      </c>
      <c r="D221" s="118">
        <v>14142954289000</v>
      </c>
      <c r="E221" s="95">
        <v>28433574878000</v>
      </c>
      <c r="F221" s="95">
        <v>9501274376000</v>
      </c>
      <c r="G221" s="95">
        <v>16683534371000</v>
      </c>
      <c r="H221" s="95">
        <v>11750040507000</v>
      </c>
      <c r="I221" s="95">
        <v>5719396239000</v>
      </c>
      <c r="J221" s="108">
        <v>1708417591000</v>
      </c>
      <c r="K221" s="118">
        <v>246112790000</v>
      </c>
      <c r="L221" s="95">
        <v>771743500000</v>
      </c>
      <c r="M221" s="95">
        <v>66000649000</v>
      </c>
      <c r="N221" s="120">
        <v>1990</v>
      </c>
      <c r="O221" s="163">
        <f t="shared" si="36"/>
        <v>32</v>
      </c>
    </row>
    <row r="222" spans="1:15" ht="12.75" x14ac:dyDescent="0.2">
      <c r="A222" s="121"/>
      <c r="B222" s="42">
        <v>2023</v>
      </c>
      <c r="C222" s="95">
        <v>15562228744000</v>
      </c>
      <c r="D222" s="118">
        <v>15606146342000</v>
      </c>
      <c r="E222" s="95">
        <v>31168375086000</v>
      </c>
      <c r="F222" s="106">
        <v>11837660718000</v>
      </c>
      <c r="G222" s="95">
        <v>18865313214000</v>
      </c>
      <c r="H222" s="95">
        <v>12303061872000</v>
      </c>
      <c r="I222" s="95">
        <v>6658782663000</v>
      </c>
      <c r="J222" s="108">
        <v>1911672396000</v>
      </c>
      <c r="K222" s="118">
        <v>287712390000</v>
      </c>
      <c r="L222" s="95">
        <v>1057692007000</v>
      </c>
      <c r="M222" s="95">
        <v>69569260000</v>
      </c>
      <c r="N222" s="120">
        <v>1990</v>
      </c>
      <c r="O222" s="163">
        <f t="shared" si="36"/>
        <v>33</v>
      </c>
    </row>
    <row r="223" spans="1:15" ht="12.75" x14ac:dyDescent="0.2">
      <c r="A223" s="122"/>
      <c r="B223" s="44">
        <v>2024</v>
      </c>
      <c r="C223" s="95">
        <v>15403966489000</v>
      </c>
      <c r="D223" s="118">
        <v>18130133973000</v>
      </c>
      <c r="E223" s="95">
        <v>33534100462000</v>
      </c>
      <c r="F223" s="95">
        <v>12884884740000</v>
      </c>
      <c r="G223" s="95">
        <v>19701573132000</v>
      </c>
      <c r="H223" s="95">
        <v>13832527330000</v>
      </c>
      <c r="I223" s="95">
        <v>10623354592000</v>
      </c>
      <c r="J223" s="108">
        <v>3732372478000</v>
      </c>
      <c r="K223" s="118">
        <v>621183520000</v>
      </c>
      <c r="L223" s="95">
        <v>1842219470000</v>
      </c>
      <c r="M223" s="95">
        <v>84709640000</v>
      </c>
      <c r="N223" s="120">
        <v>1990</v>
      </c>
      <c r="O223" s="164">
        <f t="shared" si="36"/>
        <v>34</v>
      </c>
    </row>
    <row r="224" spans="1:15" ht="12.75" x14ac:dyDescent="0.2">
      <c r="A224" s="121" t="s">
        <v>52</v>
      </c>
      <c r="B224" s="42">
        <v>2019</v>
      </c>
      <c r="C224" s="168"/>
      <c r="D224" s="168"/>
      <c r="E224" s="168"/>
      <c r="F224" s="168"/>
      <c r="G224" s="169"/>
      <c r="H224" s="170"/>
      <c r="I224" s="95">
        <v>22636357600</v>
      </c>
      <c r="J224" s="168"/>
      <c r="K224" s="168"/>
      <c r="L224" s="168"/>
      <c r="M224" s="168"/>
      <c r="N224" s="169"/>
      <c r="O224" s="170"/>
    </row>
    <row r="225" spans="1:15" ht="12.75" x14ac:dyDescent="0.2">
      <c r="A225" s="117"/>
      <c r="B225" s="37">
        <v>2020</v>
      </c>
      <c r="C225" s="118">
        <v>11529141728</v>
      </c>
      <c r="D225" s="118">
        <v>1075068329642</v>
      </c>
      <c r="E225" s="95">
        <v>1086597471370</v>
      </c>
      <c r="F225" s="108">
        <v>44834819421</v>
      </c>
      <c r="G225" s="118">
        <v>45402041449</v>
      </c>
      <c r="H225" s="119">
        <v>1041195429921</v>
      </c>
      <c r="I225" s="95">
        <v>8918882843</v>
      </c>
      <c r="J225" s="95">
        <v>-1505470000</v>
      </c>
      <c r="K225" s="118">
        <v>160227700</v>
      </c>
      <c r="L225" s="95">
        <v>12547995411</v>
      </c>
      <c r="M225" s="95">
        <v>304530000</v>
      </c>
      <c r="N225" s="97">
        <v>2014</v>
      </c>
      <c r="O225" s="163">
        <f t="shared" ref="O225:O229" si="37">B225-N225</f>
        <v>6</v>
      </c>
    </row>
    <row r="226" spans="1:15" ht="12.75" x14ac:dyDescent="0.2">
      <c r="A226" s="121"/>
      <c r="B226" s="42">
        <v>2021</v>
      </c>
      <c r="C226" s="118">
        <v>35297097624</v>
      </c>
      <c r="D226" s="118">
        <v>1049935466850</v>
      </c>
      <c r="E226" s="95">
        <v>1085232564474</v>
      </c>
      <c r="F226" s="108">
        <v>22071976952</v>
      </c>
      <c r="G226" s="118">
        <v>22543782865</v>
      </c>
      <c r="H226" s="95">
        <v>1062688781609</v>
      </c>
      <c r="I226" s="95">
        <v>47807714524</v>
      </c>
      <c r="J226" s="95">
        <v>22496560000</v>
      </c>
      <c r="K226" s="118">
        <v>1195192863</v>
      </c>
      <c r="L226" s="95">
        <v>21430197891</v>
      </c>
      <c r="M226" s="95">
        <v>107360000</v>
      </c>
      <c r="N226" s="97">
        <v>2014</v>
      </c>
      <c r="O226" s="163">
        <f t="shared" si="37"/>
        <v>7</v>
      </c>
    </row>
    <row r="227" spans="1:15" ht="12.75" x14ac:dyDescent="0.2">
      <c r="A227" s="121"/>
      <c r="B227" s="42">
        <v>2022</v>
      </c>
      <c r="C227" s="118">
        <v>29688253807</v>
      </c>
      <c r="D227" s="118">
        <v>1050560471750</v>
      </c>
      <c r="E227" s="95">
        <v>1080248725557</v>
      </c>
      <c r="F227" s="108">
        <v>20069386892</v>
      </c>
      <c r="G227" s="95">
        <v>20607280051</v>
      </c>
      <c r="H227" s="95">
        <v>1059641445506</v>
      </c>
      <c r="I227" s="95">
        <v>2727272000</v>
      </c>
      <c r="J227" s="95">
        <v>-3602350000</v>
      </c>
      <c r="K227" s="118">
        <v>68181800</v>
      </c>
      <c r="L227" s="95">
        <v>-3070556913</v>
      </c>
      <c r="M227" s="95">
        <v>2625000</v>
      </c>
      <c r="N227" s="97">
        <v>2014</v>
      </c>
      <c r="O227" s="163">
        <f t="shared" si="37"/>
        <v>8</v>
      </c>
    </row>
    <row r="228" spans="1:15" ht="12.75" x14ac:dyDescent="0.2">
      <c r="A228" s="121"/>
      <c r="B228" s="42">
        <v>2023</v>
      </c>
      <c r="C228" s="118">
        <v>27213431217</v>
      </c>
      <c r="D228" s="118">
        <v>1051046070363</v>
      </c>
      <c r="E228" s="95">
        <v>1078259501580</v>
      </c>
      <c r="F228" s="108">
        <v>20601857592</v>
      </c>
      <c r="G228" s="95">
        <v>21236414730</v>
      </c>
      <c r="H228" s="95">
        <v>1057023086850</v>
      </c>
      <c r="I228" s="95">
        <v>3545453600</v>
      </c>
      <c r="J228" s="95">
        <v>-2939180000</v>
      </c>
      <c r="K228" s="118">
        <v>88636340</v>
      </c>
      <c r="L228" s="95">
        <v>-2624032163</v>
      </c>
      <c r="M228" s="95">
        <v>4210000</v>
      </c>
      <c r="N228" s="97">
        <v>2014</v>
      </c>
      <c r="O228" s="163">
        <f t="shared" si="37"/>
        <v>9</v>
      </c>
    </row>
    <row r="229" spans="1:15" ht="12.75" x14ac:dyDescent="0.2">
      <c r="A229" s="122"/>
      <c r="B229" s="44">
        <v>2024</v>
      </c>
      <c r="C229" s="118">
        <v>25465485370</v>
      </c>
      <c r="D229" s="118">
        <v>1051280786271</v>
      </c>
      <c r="E229" s="95">
        <v>1076746271641</v>
      </c>
      <c r="F229" s="108">
        <v>20974062468</v>
      </c>
      <c r="G229" s="95">
        <v>21679188049</v>
      </c>
      <c r="H229" s="95">
        <v>1055067083592</v>
      </c>
      <c r="I229" s="95">
        <v>3833180796</v>
      </c>
      <c r="J229" s="95">
        <v>-2254790000</v>
      </c>
      <c r="K229" s="118">
        <v>95829521</v>
      </c>
      <c r="L229" s="95">
        <v>-1994362805</v>
      </c>
      <c r="M229" s="95">
        <v>5340000</v>
      </c>
      <c r="N229" s="97">
        <v>2014</v>
      </c>
      <c r="O229" s="164">
        <f t="shared" si="37"/>
        <v>10</v>
      </c>
    </row>
    <row r="230" spans="1:15" ht="12.75" x14ac:dyDescent="0.2">
      <c r="A230" s="121" t="s">
        <v>53</v>
      </c>
      <c r="B230" s="42">
        <v>2019</v>
      </c>
      <c r="C230" s="168"/>
      <c r="D230" s="168"/>
      <c r="E230" s="168"/>
      <c r="F230" s="168"/>
      <c r="G230" s="169"/>
      <c r="H230" s="170"/>
      <c r="I230" s="95">
        <v>67878628042</v>
      </c>
      <c r="J230" s="168"/>
      <c r="K230" s="168"/>
      <c r="L230" s="168"/>
      <c r="M230" s="168"/>
      <c r="N230" s="169"/>
      <c r="O230" s="170"/>
    </row>
    <row r="231" spans="1:15" ht="12.75" x14ac:dyDescent="0.2">
      <c r="A231" s="117"/>
      <c r="B231" s="37">
        <v>2020</v>
      </c>
      <c r="C231" s="109">
        <v>444941389965</v>
      </c>
      <c r="D231" s="107">
        <v>93321646029</v>
      </c>
      <c r="E231" s="95">
        <v>538263035994</v>
      </c>
      <c r="F231" s="108">
        <v>249024359927</v>
      </c>
      <c r="G231" s="95">
        <v>270227522474</v>
      </c>
      <c r="H231" s="95">
        <v>268035513520</v>
      </c>
      <c r="I231" s="95">
        <v>85537603294</v>
      </c>
      <c r="J231" s="95">
        <v>22516759453</v>
      </c>
      <c r="K231" s="109">
        <v>2987940000</v>
      </c>
      <c r="L231" s="95">
        <v>12446402605</v>
      </c>
      <c r="M231" s="95">
        <v>1001741153</v>
      </c>
      <c r="N231" s="97">
        <v>2017</v>
      </c>
      <c r="O231" s="163">
        <f t="shared" ref="O231:O235" si="38">B231-N231</f>
        <v>3</v>
      </c>
    </row>
    <row r="232" spans="1:15" ht="12.75" x14ac:dyDescent="0.2">
      <c r="A232" s="121"/>
      <c r="B232" s="42">
        <v>2021</v>
      </c>
      <c r="C232" s="109">
        <v>430194381586</v>
      </c>
      <c r="D232" s="107">
        <v>95941759030</v>
      </c>
      <c r="E232" s="95">
        <v>526136140616</v>
      </c>
      <c r="F232" s="108">
        <v>218419841952</v>
      </c>
      <c r="G232" s="95">
        <v>239158814425</v>
      </c>
      <c r="H232" s="95">
        <v>286977326191</v>
      </c>
      <c r="I232" s="95">
        <v>83521161705</v>
      </c>
      <c r="J232" s="95">
        <v>20876711967</v>
      </c>
      <c r="K232" s="109">
        <v>1861750000</v>
      </c>
      <c r="L232" s="95">
        <v>19810506330</v>
      </c>
      <c r="M232" s="95">
        <v>890521189</v>
      </c>
      <c r="N232" s="97">
        <v>2017</v>
      </c>
      <c r="O232" s="163">
        <f t="shared" si="38"/>
        <v>4</v>
      </c>
    </row>
    <row r="233" spans="1:15" ht="12.75" x14ac:dyDescent="0.2">
      <c r="A233" s="121"/>
      <c r="B233" s="42">
        <v>2022</v>
      </c>
      <c r="C233" s="109">
        <v>424279976948</v>
      </c>
      <c r="D233" s="107">
        <v>122386471222</v>
      </c>
      <c r="E233" s="95">
        <v>546666448170</v>
      </c>
      <c r="F233" s="108">
        <v>219190277293</v>
      </c>
      <c r="G233" s="95">
        <v>236219079799</v>
      </c>
      <c r="H233" s="95">
        <v>310447368371</v>
      </c>
      <c r="I233" s="95">
        <v>80804762931</v>
      </c>
      <c r="J233" s="95">
        <v>25087431683</v>
      </c>
      <c r="K233" s="109">
        <v>5309270000</v>
      </c>
      <c r="L233" s="95">
        <v>23619897053</v>
      </c>
      <c r="M233" s="95">
        <v>701881265</v>
      </c>
      <c r="N233" s="97">
        <v>2017</v>
      </c>
      <c r="O233" s="163">
        <f t="shared" si="38"/>
        <v>5</v>
      </c>
    </row>
    <row r="234" spans="1:15" ht="12.75" x14ac:dyDescent="0.2">
      <c r="A234" s="121"/>
      <c r="B234" s="42">
        <v>2023</v>
      </c>
      <c r="C234" s="109">
        <v>424347105441</v>
      </c>
      <c r="D234" s="107">
        <v>124362574437</v>
      </c>
      <c r="E234" s="95">
        <v>548709679878</v>
      </c>
      <c r="F234" s="108">
        <v>209812684480</v>
      </c>
      <c r="G234" s="95">
        <v>232668850115</v>
      </c>
      <c r="H234" s="95">
        <v>316040829763</v>
      </c>
      <c r="I234" s="95">
        <v>55985137786</v>
      </c>
      <c r="J234" s="95">
        <v>8730647858</v>
      </c>
      <c r="K234" s="109">
        <v>1520590000</v>
      </c>
      <c r="L234" s="95">
        <v>5406258674</v>
      </c>
      <c r="M234" s="95">
        <v>689075700</v>
      </c>
      <c r="N234" s="97">
        <v>2017</v>
      </c>
      <c r="O234" s="163">
        <f t="shared" si="38"/>
        <v>6</v>
      </c>
    </row>
    <row r="235" spans="1:15" ht="12.75" x14ac:dyDescent="0.2">
      <c r="A235" s="122"/>
      <c r="B235" s="44">
        <v>2024</v>
      </c>
      <c r="C235" s="109">
        <v>396855062145</v>
      </c>
      <c r="D235" s="107">
        <v>125161978395</v>
      </c>
      <c r="E235" s="95">
        <v>522017040540</v>
      </c>
      <c r="F235" s="108">
        <v>167740308862</v>
      </c>
      <c r="G235" s="95">
        <v>192024230649</v>
      </c>
      <c r="H235" s="95">
        <v>329992809891</v>
      </c>
      <c r="I235" s="95">
        <v>83395780765</v>
      </c>
      <c r="J235" s="95">
        <v>17999314151</v>
      </c>
      <c r="K235" s="109">
        <v>2524060000</v>
      </c>
      <c r="L235" s="95">
        <v>13750162463</v>
      </c>
      <c r="M235" s="95">
        <v>987734329</v>
      </c>
      <c r="N235" s="97">
        <v>2017</v>
      </c>
      <c r="O235" s="164">
        <f t="shared" si="38"/>
        <v>7</v>
      </c>
    </row>
    <row r="236" spans="1:15" ht="12.75" x14ac:dyDescent="0.2">
      <c r="A236" s="123" t="s">
        <v>54</v>
      </c>
      <c r="B236" s="42">
        <v>2019</v>
      </c>
      <c r="C236" s="168"/>
      <c r="D236" s="168"/>
      <c r="E236" s="168"/>
      <c r="F236" s="168"/>
      <c r="G236" s="169"/>
      <c r="H236" s="170"/>
      <c r="I236" s="124">
        <v>258598010674</v>
      </c>
      <c r="J236" s="168"/>
      <c r="K236" s="168"/>
      <c r="L236" s="168"/>
      <c r="M236" s="168"/>
      <c r="N236" s="169"/>
      <c r="O236" s="170"/>
    </row>
    <row r="237" spans="1:15" ht="12.75" x14ac:dyDescent="0.2">
      <c r="A237" s="123"/>
      <c r="B237" s="37">
        <v>2020</v>
      </c>
      <c r="C237" s="124">
        <v>1068609224315</v>
      </c>
      <c r="D237" s="124">
        <v>1293405737735</v>
      </c>
      <c r="E237" s="124">
        <v>2362014962050</v>
      </c>
      <c r="F237" s="124">
        <v>306664655767</v>
      </c>
      <c r="G237" s="124">
        <v>524341904877</v>
      </c>
      <c r="H237" s="124">
        <v>1837673057173</v>
      </c>
      <c r="I237" s="124">
        <v>155372926625</v>
      </c>
      <c r="J237" s="124">
        <v>-25493100000</v>
      </c>
      <c r="K237" s="124">
        <v>3249730000</v>
      </c>
      <c r="L237" s="124">
        <v>-39146758147</v>
      </c>
      <c r="M237" s="124">
        <v>40549890841</v>
      </c>
      <c r="N237" s="125">
        <v>2018</v>
      </c>
      <c r="O237" s="163">
        <f>B237-N237</f>
        <v>2</v>
      </c>
    </row>
    <row r="238" spans="1:15" ht="12.75" x14ac:dyDescent="0.2">
      <c r="A238" s="123"/>
      <c r="B238" s="42">
        <v>2021</v>
      </c>
      <c r="C238" s="124">
        <v>1294835557055</v>
      </c>
      <c r="D238" s="124">
        <v>1351716787943</v>
      </c>
      <c r="E238" s="124">
        <v>2646552344998</v>
      </c>
      <c r="F238" s="124">
        <v>151015221172</v>
      </c>
      <c r="G238" s="124">
        <v>380753760351</v>
      </c>
      <c r="H238" s="124">
        <v>2265798584647</v>
      </c>
      <c r="I238" s="124">
        <v>249103324854</v>
      </c>
      <c r="J238" s="124">
        <v>10302720000</v>
      </c>
      <c r="K238" s="124">
        <v>6336890000</v>
      </c>
      <c r="L238" s="124">
        <v>40965480325</v>
      </c>
      <c r="M238" s="124">
        <v>41905296608</v>
      </c>
      <c r="N238" s="125">
        <v>2018</v>
      </c>
      <c r="O238" s="163">
        <f t="shared" ref="O238:O241" si="39">B238-N238</f>
        <v>3</v>
      </c>
    </row>
    <row r="239" spans="1:15" ht="12.75" x14ac:dyDescent="0.2">
      <c r="A239" s="126"/>
      <c r="B239" s="42">
        <v>2022</v>
      </c>
      <c r="C239" s="127">
        <v>1289366087596</v>
      </c>
      <c r="D239" s="127">
        <v>1422794862406</v>
      </c>
      <c r="E239" s="127">
        <v>2712160950002</v>
      </c>
      <c r="F239" s="127">
        <v>120632658595</v>
      </c>
      <c r="G239" s="127">
        <v>410744836206</v>
      </c>
      <c r="H239" s="127">
        <v>2301416113796</v>
      </c>
      <c r="I239" s="127">
        <v>319782354630</v>
      </c>
      <c r="J239" s="127">
        <v>42931609793</v>
      </c>
      <c r="K239" s="127">
        <v>8909660000</v>
      </c>
      <c r="L239" s="127">
        <v>35845759726</v>
      </c>
      <c r="M239" s="127">
        <v>40398321513</v>
      </c>
      <c r="N239" s="125">
        <v>2018</v>
      </c>
      <c r="O239" s="163">
        <f t="shared" si="39"/>
        <v>4</v>
      </c>
    </row>
    <row r="240" spans="1:15" ht="12.75" x14ac:dyDescent="0.2">
      <c r="A240" s="126"/>
      <c r="B240" s="42">
        <v>2023</v>
      </c>
      <c r="C240" s="127">
        <v>1336023237388</v>
      </c>
      <c r="D240" s="127">
        <v>1874681305678</v>
      </c>
      <c r="E240" s="127">
        <v>3210704543066</v>
      </c>
      <c r="F240" s="127">
        <v>449272988572</v>
      </c>
      <c r="G240" s="127">
        <v>772706002001</v>
      </c>
      <c r="H240" s="127">
        <v>2437998541065</v>
      </c>
      <c r="I240" s="127">
        <v>279072020902</v>
      </c>
      <c r="J240" s="127">
        <v>19547353379</v>
      </c>
      <c r="K240" s="127">
        <v>6902060000</v>
      </c>
      <c r="L240" s="127">
        <v>14790723518</v>
      </c>
      <c r="M240" s="127">
        <v>41093798280</v>
      </c>
      <c r="N240" s="125">
        <v>2018</v>
      </c>
      <c r="O240" s="163">
        <f t="shared" si="39"/>
        <v>5</v>
      </c>
    </row>
    <row r="241" spans="1:15" ht="12.75" x14ac:dyDescent="0.2">
      <c r="A241" s="126"/>
      <c r="B241" s="42">
        <v>2024</v>
      </c>
      <c r="C241" s="152">
        <v>1486825385380</v>
      </c>
      <c r="D241" s="152">
        <v>1935240127156</v>
      </c>
      <c r="E241" s="152">
        <v>3422065512536</v>
      </c>
      <c r="F241" s="152">
        <v>478215943536</v>
      </c>
      <c r="G241" s="152">
        <v>814070686819</v>
      </c>
      <c r="H241" s="152">
        <v>2607994825717</v>
      </c>
      <c r="I241" s="152">
        <v>365587667602</v>
      </c>
      <c r="J241" s="152">
        <v>46661534693</v>
      </c>
      <c r="K241" s="152">
        <v>11512230000</v>
      </c>
      <c r="L241" s="152">
        <v>34806710279</v>
      </c>
      <c r="M241" s="127">
        <v>40072531472</v>
      </c>
      <c r="N241" s="125">
        <v>2018</v>
      </c>
      <c r="O241" s="165">
        <f t="shared" si="39"/>
        <v>6</v>
      </c>
    </row>
    <row r="242" spans="1:15" ht="12.75" x14ac:dyDescent="0.2">
      <c r="A242" s="159"/>
      <c r="B242" s="160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61"/>
      <c r="N242" s="162"/>
      <c r="O242" s="162"/>
    </row>
    <row r="243" spans="1:15" ht="12.75" x14ac:dyDescent="0.2">
      <c r="A243" s="126"/>
      <c r="B243" s="9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8"/>
      <c r="O243" s="98"/>
    </row>
    <row r="244" spans="1:15" ht="12.75" x14ac:dyDescent="0.2">
      <c r="A244" s="126"/>
      <c r="B244" s="9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8"/>
      <c r="O244" s="98"/>
    </row>
    <row r="245" spans="1:15" ht="12.75" x14ac:dyDescent="0.2">
      <c r="A245" s="126"/>
      <c r="B245" s="9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8"/>
      <c r="O245" s="98"/>
    </row>
    <row r="246" spans="1:15" ht="12.75" x14ac:dyDescent="0.2">
      <c r="A246" s="126"/>
      <c r="B246" s="9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8"/>
      <c r="O246" s="98"/>
    </row>
    <row r="247" spans="1:15" ht="12.75" x14ac:dyDescent="0.2">
      <c r="A247" s="126"/>
      <c r="B247" s="9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8"/>
      <c r="O247" s="98"/>
    </row>
    <row r="248" spans="1:15" ht="12.75" x14ac:dyDescent="0.2">
      <c r="A248" s="126"/>
      <c r="B248" s="9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</row>
    <row r="249" spans="1:15" ht="12.75" x14ac:dyDescent="0.2">
      <c r="A249" s="126"/>
      <c r="B249" s="9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O249" s="98"/>
    </row>
    <row r="250" spans="1:15" ht="12.75" x14ac:dyDescent="0.2">
      <c r="A250" s="126"/>
      <c r="B250" s="9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O250" s="98"/>
    </row>
    <row r="251" spans="1:15" ht="12.75" x14ac:dyDescent="0.2">
      <c r="A251" s="126"/>
      <c r="B251" s="9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O251" s="98"/>
    </row>
    <row r="252" spans="1:15" ht="12.75" x14ac:dyDescent="0.2">
      <c r="A252" s="126"/>
      <c r="B252" s="9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O252" s="98"/>
    </row>
    <row r="253" spans="1:15" ht="12.75" x14ac:dyDescent="0.2">
      <c r="A253" s="126"/>
      <c r="B253" s="9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O253" s="105"/>
    </row>
    <row r="254" spans="1:15" ht="12.75" x14ac:dyDescent="0.2">
      <c r="A254" s="126"/>
      <c r="B254" s="9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</row>
    <row r="255" spans="1:15" ht="12.75" x14ac:dyDescent="0.2">
      <c r="A255" s="126"/>
      <c r="B255" s="9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O255" s="98"/>
    </row>
    <row r="256" spans="1:15" ht="12.75" x14ac:dyDescent="0.2">
      <c r="A256" s="126"/>
      <c r="B256" s="9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O256" s="98"/>
    </row>
    <row r="257" spans="1:15" ht="12.75" x14ac:dyDescent="0.2">
      <c r="A257" s="126"/>
      <c r="B257" s="9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O257" s="98"/>
    </row>
    <row r="258" spans="1:15" ht="12.75" x14ac:dyDescent="0.2">
      <c r="A258" s="126"/>
      <c r="B258" s="9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O258" s="98"/>
    </row>
    <row r="259" spans="1:15" ht="12.75" x14ac:dyDescent="0.2">
      <c r="A259" s="126"/>
      <c r="B259" s="9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O259" s="105"/>
    </row>
    <row r="260" spans="1:15" ht="12.75" x14ac:dyDescent="0.2">
      <c r="A260" s="126"/>
      <c r="B260" s="9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spans="1:15" ht="12.75" x14ac:dyDescent="0.2">
      <c r="A261" s="126"/>
      <c r="B261" s="9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O261" s="98"/>
    </row>
    <row r="262" spans="1:15" ht="12.75" x14ac:dyDescent="0.2">
      <c r="A262" s="126"/>
      <c r="B262" s="9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O262" s="98"/>
    </row>
    <row r="263" spans="1:15" ht="12.75" x14ac:dyDescent="0.2">
      <c r="A263" s="126"/>
      <c r="B263" s="9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O263" s="98"/>
    </row>
    <row r="264" spans="1:15" ht="12.75" x14ac:dyDescent="0.2">
      <c r="A264" s="126"/>
      <c r="B264" s="9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O264" s="98"/>
    </row>
    <row r="265" spans="1:15" ht="12.75" x14ac:dyDescent="0.2">
      <c r="A265" s="126"/>
      <c r="B265" s="9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O265" s="105"/>
    </row>
    <row r="266" spans="1:15" ht="12.75" x14ac:dyDescent="0.2">
      <c r="A266" s="126" t="s">
        <v>55</v>
      </c>
      <c r="B266" s="9"/>
    </row>
    <row r="267" spans="1:15" ht="12.75" x14ac:dyDescent="0.2">
      <c r="A267" s="126"/>
      <c r="B267" s="9"/>
    </row>
    <row r="268" spans="1:15" ht="12.75" x14ac:dyDescent="0.2">
      <c r="A268" s="126"/>
      <c r="B268" s="9"/>
    </row>
    <row r="269" spans="1:15" ht="12.75" x14ac:dyDescent="0.2">
      <c r="A269" s="126"/>
      <c r="B269" s="9"/>
    </row>
    <row r="270" spans="1:15" ht="12.75" x14ac:dyDescent="0.2">
      <c r="A270" s="126"/>
      <c r="B270" s="9"/>
    </row>
    <row r="271" spans="1:15" ht="12.75" x14ac:dyDescent="0.2">
      <c r="A271" s="126"/>
      <c r="B271" s="9"/>
    </row>
    <row r="272" spans="1:15" ht="12.75" x14ac:dyDescent="0.2">
      <c r="A272" s="126"/>
      <c r="B272" s="9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8"/>
      <c r="O272" s="128"/>
    </row>
    <row r="273" spans="1:15" ht="12.75" x14ac:dyDescent="0.2">
      <c r="A273" s="126"/>
      <c r="B273" s="9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8"/>
      <c r="O273" s="98"/>
    </row>
    <row r="274" spans="1:15" ht="12.75" x14ac:dyDescent="0.2">
      <c r="A274" s="126"/>
      <c r="B274" s="9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8"/>
      <c r="O274" s="98"/>
    </row>
    <row r="275" spans="1:15" ht="12.75" x14ac:dyDescent="0.2">
      <c r="A275" s="126"/>
      <c r="B275" s="9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8"/>
      <c r="O275" s="98"/>
    </row>
    <row r="276" spans="1:15" ht="12.75" x14ac:dyDescent="0.2">
      <c r="A276" s="126"/>
      <c r="B276" s="9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8"/>
      <c r="O276" s="98"/>
    </row>
    <row r="277" spans="1:15" ht="12.75" x14ac:dyDescent="0.2">
      <c r="A277" s="126"/>
      <c r="B277" s="9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8"/>
      <c r="O277" s="105"/>
    </row>
    <row r="278" spans="1:15" ht="12.75" x14ac:dyDescent="0.2">
      <c r="A278" s="126"/>
      <c r="B278" s="9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8"/>
      <c r="O278" s="128"/>
    </row>
    <row r="279" spans="1:15" ht="12.75" x14ac:dyDescent="0.2">
      <c r="A279" s="126"/>
      <c r="B279" s="9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8"/>
      <c r="O279" s="98"/>
    </row>
    <row r="280" spans="1:15" ht="12.75" x14ac:dyDescent="0.2">
      <c r="A280" s="126"/>
      <c r="B280" s="9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8"/>
      <c r="O280" s="98"/>
    </row>
    <row r="281" spans="1:15" ht="12.75" x14ac:dyDescent="0.2">
      <c r="A281" s="126"/>
      <c r="B281" s="9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8"/>
      <c r="O281" s="98"/>
    </row>
    <row r="282" spans="1:15" ht="12.75" x14ac:dyDescent="0.2">
      <c r="A282" s="126"/>
      <c r="B282" s="9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8"/>
      <c r="O282" s="98"/>
    </row>
    <row r="283" spans="1:15" ht="12.75" x14ac:dyDescent="0.2">
      <c r="A283" s="126"/>
      <c r="B283" s="9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8"/>
      <c r="O283" s="105"/>
    </row>
    <row r="284" spans="1:15" ht="12.75" x14ac:dyDescent="0.2">
      <c r="A284" s="126"/>
      <c r="B284" s="9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8"/>
      <c r="O284" s="128"/>
    </row>
    <row r="285" spans="1:15" ht="12.75" x14ac:dyDescent="0.2">
      <c r="A285" s="126"/>
      <c r="B285" s="9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8"/>
      <c r="O285" s="98"/>
    </row>
    <row r="286" spans="1:15" ht="12.75" x14ac:dyDescent="0.2">
      <c r="A286" s="126"/>
      <c r="B286" s="9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8"/>
      <c r="O286" s="98"/>
    </row>
    <row r="287" spans="1:15" ht="12.75" x14ac:dyDescent="0.2">
      <c r="A287" s="126"/>
      <c r="B287" s="9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8"/>
      <c r="O287" s="98"/>
    </row>
    <row r="288" spans="1:15" ht="12.75" x14ac:dyDescent="0.2">
      <c r="A288" s="126"/>
      <c r="B288" s="9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8"/>
      <c r="O288" s="98"/>
    </row>
    <row r="289" spans="1:15" ht="12.75" x14ac:dyDescent="0.2">
      <c r="A289" s="126"/>
      <c r="B289" s="9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8"/>
      <c r="O289" s="105"/>
    </row>
    <row r="290" spans="1:15" ht="12.75" x14ac:dyDescent="0.2">
      <c r="A290" s="126"/>
      <c r="B290" s="9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8"/>
      <c r="O290" s="128"/>
    </row>
    <row r="291" spans="1:15" ht="12.75" x14ac:dyDescent="0.2">
      <c r="A291" s="126"/>
      <c r="B291" s="9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8"/>
      <c r="O291" s="98"/>
    </row>
    <row r="292" spans="1:15" ht="12.75" x14ac:dyDescent="0.2">
      <c r="A292" s="126"/>
      <c r="B292" s="9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8"/>
      <c r="O292" s="98"/>
    </row>
    <row r="293" spans="1:15" ht="12.75" x14ac:dyDescent="0.2">
      <c r="A293" s="126"/>
      <c r="B293" s="9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8"/>
      <c r="O293" s="98"/>
    </row>
    <row r="294" spans="1:15" ht="12.75" x14ac:dyDescent="0.2">
      <c r="A294" s="126"/>
      <c r="B294" s="9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8"/>
      <c r="O294" s="98"/>
    </row>
    <row r="295" spans="1:15" ht="12.75" x14ac:dyDescent="0.2">
      <c r="A295" s="126"/>
      <c r="B295" s="9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8"/>
      <c r="O295" s="105"/>
    </row>
    <row r="296" spans="1:15" ht="12.75" x14ac:dyDescent="0.2">
      <c r="A296" s="126"/>
      <c r="B296" s="9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8"/>
      <c r="O296" s="128"/>
    </row>
    <row r="297" spans="1:15" ht="12.75" x14ac:dyDescent="0.2">
      <c r="A297" s="126"/>
      <c r="B297" s="9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8"/>
      <c r="O297" s="98"/>
    </row>
    <row r="298" spans="1:15" ht="12.75" x14ac:dyDescent="0.2">
      <c r="A298" s="126"/>
      <c r="B298" s="9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8"/>
      <c r="O298" s="98"/>
    </row>
    <row r="299" spans="1:15" ht="12.75" x14ac:dyDescent="0.2">
      <c r="A299" s="126"/>
      <c r="B299" s="9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8"/>
      <c r="O299" s="98"/>
    </row>
    <row r="300" spans="1:15" ht="12.75" x14ac:dyDescent="0.2">
      <c r="A300" s="126"/>
      <c r="B300" s="9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8"/>
      <c r="O300" s="98"/>
    </row>
    <row r="301" spans="1:15" ht="12.75" x14ac:dyDescent="0.2">
      <c r="A301" s="126"/>
      <c r="B301" s="9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8"/>
      <c r="O301" s="105"/>
    </row>
    <row r="302" spans="1:15" ht="12.75" x14ac:dyDescent="0.2">
      <c r="A302" s="126"/>
      <c r="B302" s="9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8"/>
      <c r="O302" s="128"/>
    </row>
    <row r="303" spans="1:15" ht="12.75" x14ac:dyDescent="0.2">
      <c r="A303" s="126"/>
      <c r="B303" s="9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8"/>
      <c r="O303" s="98"/>
    </row>
    <row r="304" spans="1:15" ht="12.75" x14ac:dyDescent="0.2">
      <c r="A304" s="126"/>
      <c r="B304" s="9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8"/>
      <c r="O304" s="98"/>
    </row>
    <row r="305" spans="1:15" ht="12.75" x14ac:dyDescent="0.2">
      <c r="A305" s="126"/>
      <c r="B305" s="9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8"/>
      <c r="O305" s="98"/>
    </row>
    <row r="306" spans="1:15" ht="12.75" x14ac:dyDescent="0.2">
      <c r="A306" s="126"/>
      <c r="B306" s="9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8"/>
      <c r="O306" s="98"/>
    </row>
    <row r="307" spans="1:15" ht="12.75" x14ac:dyDescent="0.2">
      <c r="A307" s="126"/>
      <c r="B307" s="9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8"/>
      <c r="O307" s="105"/>
    </row>
    <row r="308" spans="1:15" ht="12.75" x14ac:dyDescent="0.2">
      <c r="A308" s="126"/>
      <c r="B308" s="9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8"/>
      <c r="O308" s="128"/>
    </row>
    <row r="309" spans="1:15" ht="12.75" x14ac:dyDescent="0.2">
      <c r="A309" s="126"/>
      <c r="B309" s="9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8"/>
      <c r="O309" s="98"/>
    </row>
    <row r="310" spans="1:15" ht="12.75" x14ac:dyDescent="0.2">
      <c r="A310" s="126"/>
      <c r="B310" s="9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8"/>
      <c r="O310" s="98"/>
    </row>
    <row r="311" spans="1:15" ht="12.75" x14ac:dyDescent="0.2">
      <c r="A311" s="126"/>
      <c r="B311" s="9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8"/>
      <c r="O311" s="98"/>
    </row>
    <row r="312" spans="1:15" ht="12.75" x14ac:dyDescent="0.2">
      <c r="A312" s="126"/>
      <c r="B312" s="9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8"/>
      <c r="O312" s="98"/>
    </row>
    <row r="313" spans="1:15" ht="12.75" x14ac:dyDescent="0.2">
      <c r="A313" s="126"/>
      <c r="B313" s="9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8"/>
      <c r="O313" s="105"/>
    </row>
    <row r="314" spans="1:15" ht="12.75" x14ac:dyDescent="0.2">
      <c r="A314" s="126"/>
      <c r="B314" s="9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8"/>
      <c r="O314" s="128"/>
    </row>
    <row r="315" spans="1:15" ht="12.75" x14ac:dyDescent="0.2">
      <c r="A315" s="126"/>
      <c r="B315" s="9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8"/>
      <c r="O315" s="98"/>
    </row>
    <row r="316" spans="1:15" ht="12.75" x14ac:dyDescent="0.2">
      <c r="A316" s="126"/>
      <c r="B316" s="9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8"/>
      <c r="O316" s="98"/>
    </row>
    <row r="317" spans="1:15" ht="12.75" x14ac:dyDescent="0.2">
      <c r="A317" s="126"/>
      <c r="B317" s="9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8"/>
      <c r="O317" s="98"/>
    </row>
    <row r="318" spans="1:15" ht="12.75" x14ac:dyDescent="0.2">
      <c r="A318" s="126"/>
      <c r="B318" s="9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8"/>
      <c r="O318" s="98"/>
    </row>
    <row r="319" spans="1:15" ht="12.75" x14ac:dyDescent="0.2">
      <c r="A319" s="126"/>
      <c r="B319" s="9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8"/>
      <c r="O319" s="105"/>
    </row>
    <row r="320" spans="1:15" ht="12.75" x14ac:dyDescent="0.2">
      <c r="A320" s="126"/>
      <c r="B320" s="9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8"/>
      <c r="O320" s="128"/>
    </row>
    <row r="321" spans="1:15" ht="12.75" x14ac:dyDescent="0.2">
      <c r="A321" s="126"/>
      <c r="B321" s="9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8"/>
      <c r="O321" s="98"/>
    </row>
    <row r="322" spans="1:15" ht="12.75" x14ac:dyDescent="0.2">
      <c r="A322" s="126"/>
      <c r="B322" s="9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8"/>
      <c r="O322" s="98"/>
    </row>
    <row r="323" spans="1:15" ht="12.75" x14ac:dyDescent="0.2">
      <c r="A323" s="126"/>
      <c r="B323" s="9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8"/>
      <c r="O323" s="98"/>
    </row>
    <row r="324" spans="1:15" ht="12.75" x14ac:dyDescent="0.2">
      <c r="A324" s="126"/>
      <c r="B324" s="9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8"/>
      <c r="O324" s="98"/>
    </row>
    <row r="325" spans="1:15" ht="12.75" x14ac:dyDescent="0.2">
      <c r="A325" s="126"/>
      <c r="B325" s="9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8"/>
      <c r="O325" s="105"/>
    </row>
    <row r="326" spans="1:15" ht="12.75" x14ac:dyDescent="0.2">
      <c r="A326" s="126"/>
      <c r="B326" s="9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8"/>
      <c r="O326" s="128"/>
    </row>
    <row r="327" spans="1:15" ht="12.75" x14ac:dyDescent="0.2">
      <c r="A327" s="126"/>
      <c r="B327" s="9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8"/>
      <c r="O327" s="98"/>
    </row>
    <row r="328" spans="1:15" ht="12.75" x14ac:dyDescent="0.2">
      <c r="A328" s="126"/>
      <c r="B328" s="9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8"/>
      <c r="O328" s="98"/>
    </row>
    <row r="329" spans="1:15" ht="12.75" x14ac:dyDescent="0.2">
      <c r="A329" s="126"/>
      <c r="B329" s="9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8"/>
      <c r="O329" s="98"/>
    </row>
    <row r="330" spans="1:15" ht="12.75" x14ac:dyDescent="0.2">
      <c r="A330" s="126"/>
      <c r="B330" s="9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8"/>
      <c r="O330" s="98"/>
    </row>
    <row r="331" spans="1:15" ht="12.75" x14ac:dyDescent="0.2">
      <c r="A331" s="126"/>
      <c r="B331" s="9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8"/>
      <c r="O331" s="105"/>
    </row>
    <row r="332" spans="1:15" ht="12.75" x14ac:dyDescent="0.2">
      <c r="A332" s="126"/>
      <c r="B332" s="9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8"/>
      <c r="O332" s="128"/>
    </row>
    <row r="333" spans="1:15" ht="12.75" x14ac:dyDescent="0.2">
      <c r="A333" s="126"/>
      <c r="B333" s="9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8"/>
      <c r="O333" s="98"/>
    </row>
    <row r="334" spans="1:15" ht="12.75" x14ac:dyDescent="0.2">
      <c r="A334" s="126"/>
      <c r="B334" s="9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8"/>
      <c r="O334" s="98"/>
    </row>
    <row r="335" spans="1:15" ht="12.75" x14ac:dyDescent="0.2">
      <c r="A335" s="126"/>
      <c r="B335" s="9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8"/>
      <c r="O335" s="98"/>
    </row>
    <row r="336" spans="1:15" ht="12.75" x14ac:dyDescent="0.2">
      <c r="A336" s="126"/>
      <c r="B336" s="9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8"/>
      <c r="O336" s="98"/>
    </row>
    <row r="337" spans="1:15" ht="12.75" x14ac:dyDescent="0.2">
      <c r="A337" s="126"/>
      <c r="B337" s="9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8"/>
      <c r="O337" s="105"/>
    </row>
    <row r="338" spans="1:15" ht="12.75" x14ac:dyDescent="0.2">
      <c r="A338" s="126"/>
      <c r="B338" s="9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8"/>
      <c r="O338" s="128"/>
    </row>
    <row r="339" spans="1:15" ht="12.75" x14ac:dyDescent="0.2">
      <c r="A339" s="126"/>
      <c r="B339" s="9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8"/>
      <c r="O339" s="98"/>
    </row>
    <row r="340" spans="1:15" ht="12.75" x14ac:dyDescent="0.2">
      <c r="A340" s="126"/>
      <c r="B340" s="9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8"/>
      <c r="O340" s="98"/>
    </row>
    <row r="341" spans="1:15" ht="12.75" x14ac:dyDescent="0.2">
      <c r="A341" s="126"/>
      <c r="B341" s="9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8"/>
      <c r="O341" s="98"/>
    </row>
    <row r="342" spans="1:15" ht="12.75" x14ac:dyDescent="0.2">
      <c r="A342" s="126"/>
      <c r="B342" s="9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8"/>
      <c r="O342" s="98"/>
    </row>
    <row r="343" spans="1:15" ht="12.75" x14ac:dyDescent="0.2">
      <c r="A343" s="126"/>
      <c r="B343" s="9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8"/>
      <c r="O343" s="105"/>
    </row>
    <row r="344" spans="1:15" ht="12.75" x14ac:dyDescent="0.2">
      <c r="A344" s="126"/>
      <c r="B344" s="9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8"/>
      <c r="O344" s="128"/>
    </row>
    <row r="345" spans="1:15" ht="12.75" x14ac:dyDescent="0.2">
      <c r="A345" s="126"/>
      <c r="B345" s="9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8"/>
      <c r="O345" s="98"/>
    </row>
    <row r="346" spans="1:15" ht="12.75" x14ac:dyDescent="0.2">
      <c r="A346" s="126"/>
      <c r="B346" s="9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8"/>
      <c r="O346" s="98"/>
    </row>
    <row r="347" spans="1:15" ht="12.75" x14ac:dyDescent="0.2">
      <c r="A347" s="126"/>
      <c r="B347" s="9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8"/>
      <c r="O347" s="98"/>
    </row>
    <row r="348" spans="1:15" ht="12.75" x14ac:dyDescent="0.2">
      <c r="A348" s="126"/>
      <c r="B348" s="9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8"/>
      <c r="O348" s="98"/>
    </row>
    <row r="349" spans="1:15" ht="12.75" x14ac:dyDescent="0.2">
      <c r="A349" s="126"/>
      <c r="B349" s="9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8"/>
      <c r="O349" s="105"/>
    </row>
    <row r="350" spans="1:15" ht="12.75" x14ac:dyDescent="0.2">
      <c r="A350" s="126"/>
      <c r="B350" s="9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8"/>
      <c r="O350" s="128"/>
    </row>
    <row r="351" spans="1:15" ht="12.75" x14ac:dyDescent="0.2">
      <c r="A351" s="126"/>
      <c r="B351" s="9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8"/>
      <c r="O351" s="98"/>
    </row>
    <row r="352" spans="1:15" ht="12.75" x14ac:dyDescent="0.2">
      <c r="A352" s="126"/>
      <c r="B352" s="9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8"/>
      <c r="O352" s="98"/>
    </row>
    <row r="353" spans="1:15" ht="12.75" x14ac:dyDescent="0.2">
      <c r="A353" s="126"/>
      <c r="B353" s="9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8"/>
      <c r="O353" s="98"/>
    </row>
    <row r="354" spans="1:15" ht="12.75" x14ac:dyDescent="0.2">
      <c r="A354" s="126"/>
      <c r="B354" s="9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8"/>
      <c r="O354" s="98"/>
    </row>
    <row r="355" spans="1:15" ht="12.75" x14ac:dyDescent="0.2">
      <c r="A355" s="126"/>
      <c r="B355" s="9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8"/>
      <c r="O355" s="105"/>
    </row>
    <row r="356" spans="1:15" ht="12.75" x14ac:dyDescent="0.2">
      <c r="A356" s="126"/>
      <c r="B356" s="9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8"/>
      <c r="O356" s="128"/>
    </row>
    <row r="357" spans="1:15" ht="12.75" x14ac:dyDescent="0.2">
      <c r="A357" s="126"/>
      <c r="B357" s="9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8"/>
      <c r="O357" s="98"/>
    </row>
    <row r="358" spans="1:15" ht="12.75" x14ac:dyDescent="0.2">
      <c r="A358" s="126"/>
      <c r="B358" s="9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8"/>
      <c r="O358" s="98"/>
    </row>
    <row r="359" spans="1:15" ht="12.75" x14ac:dyDescent="0.2">
      <c r="A359" s="126"/>
      <c r="B359" s="9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8"/>
      <c r="O359" s="98"/>
    </row>
    <row r="360" spans="1:15" ht="12.75" x14ac:dyDescent="0.2">
      <c r="A360" s="126"/>
      <c r="B360" s="9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8"/>
      <c r="O360" s="98"/>
    </row>
    <row r="361" spans="1:15" ht="12.75" x14ac:dyDescent="0.2">
      <c r="A361" s="126"/>
      <c r="B361" s="9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8"/>
      <c r="O361" s="105"/>
    </row>
    <row r="362" spans="1:15" ht="12.75" x14ac:dyDescent="0.2">
      <c r="A362" s="126"/>
      <c r="B362" s="155"/>
      <c r="E362" s="156"/>
      <c r="H362" s="130"/>
      <c r="I362" s="130"/>
      <c r="J362" s="157"/>
      <c r="K362" s="158"/>
      <c r="L362" s="130"/>
      <c r="M362" s="130"/>
      <c r="O362" s="128"/>
    </row>
    <row r="363" spans="1:15" ht="12.75" x14ac:dyDescent="0.2">
      <c r="A363" s="126"/>
      <c r="B363" s="155"/>
      <c r="E363" s="156"/>
      <c r="H363" s="130"/>
      <c r="I363" s="130"/>
      <c r="J363" s="157"/>
      <c r="K363" s="158"/>
      <c r="L363" s="130"/>
      <c r="M363" s="130"/>
      <c r="O363" s="128"/>
    </row>
    <row r="364" spans="1:15" ht="12.75" x14ac:dyDescent="0.2">
      <c r="A364" s="126"/>
      <c r="B364" s="155"/>
      <c r="E364" s="156"/>
      <c r="H364" s="130"/>
      <c r="I364" s="130"/>
      <c r="J364" s="157"/>
      <c r="K364" s="158"/>
      <c r="L364" s="130"/>
      <c r="M364" s="130"/>
      <c r="O364" s="128"/>
    </row>
    <row r="365" spans="1:15" ht="12.75" x14ac:dyDescent="0.2">
      <c r="A365" s="126"/>
      <c r="B365" s="155"/>
      <c r="E365" s="156"/>
      <c r="H365" s="130"/>
      <c r="I365" s="130"/>
      <c r="J365" s="157"/>
      <c r="K365" s="158"/>
      <c r="L365" s="130"/>
      <c r="M365" s="130"/>
      <c r="O365" s="128"/>
    </row>
    <row r="366" spans="1:15" ht="12.75" x14ac:dyDescent="0.2">
      <c r="A366" s="126"/>
      <c r="B366" s="155"/>
      <c r="E366" s="156"/>
      <c r="H366" s="130"/>
      <c r="I366" s="130"/>
      <c r="J366" s="157"/>
      <c r="K366" s="158"/>
      <c r="L366" s="130"/>
      <c r="M366" s="130"/>
      <c r="O366" s="128"/>
    </row>
    <row r="367" spans="1:15" ht="12.75" x14ac:dyDescent="0.2">
      <c r="A367" s="126"/>
      <c r="B367" s="155"/>
      <c r="E367" s="156"/>
      <c r="H367" s="130"/>
      <c r="I367" s="130"/>
      <c r="J367" s="157"/>
      <c r="K367" s="158"/>
      <c r="L367" s="130"/>
      <c r="M367" s="130"/>
      <c r="O367" s="128"/>
    </row>
    <row r="368" spans="1:15" ht="12.75" x14ac:dyDescent="0.2">
      <c r="A368" s="126"/>
      <c r="B368" s="155"/>
      <c r="E368" s="156"/>
      <c r="H368" s="130"/>
      <c r="I368" s="130"/>
      <c r="J368" s="157"/>
      <c r="K368" s="158"/>
      <c r="L368" s="130"/>
      <c r="M368" s="130"/>
      <c r="O368" s="128"/>
    </row>
    <row r="369" spans="1:15" ht="12.75" x14ac:dyDescent="0.2">
      <c r="A369" s="126"/>
      <c r="B369" s="155"/>
      <c r="E369" s="156"/>
      <c r="H369" s="130"/>
      <c r="I369" s="130"/>
      <c r="J369" s="157"/>
      <c r="K369" s="158"/>
      <c r="L369" s="130"/>
      <c r="M369" s="130"/>
      <c r="O369" s="128"/>
    </row>
    <row r="370" spans="1:15" ht="12.75" x14ac:dyDescent="0.2">
      <c r="A370" s="126"/>
      <c r="B370" s="155"/>
      <c r="E370" s="156"/>
      <c r="H370" s="130"/>
      <c r="I370" s="130"/>
      <c r="J370" s="157"/>
      <c r="K370" s="158"/>
      <c r="L370" s="130"/>
      <c r="M370" s="130"/>
      <c r="O370" s="128"/>
    </row>
    <row r="371" spans="1:15" ht="12.75" x14ac:dyDescent="0.2">
      <c r="A371" s="126"/>
      <c r="B371" s="155"/>
      <c r="E371" s="156"/>
      <c r="H371" s="130"/>
      <c r="I371" s="130"/>
      <c r="J371" s="157"/>
      <c r="K371" s="158"/>
      <c r="L371" s="130"/>
      <c r="M371" s="130"/>
      <c r="O371" s="128"/>
    </row>
    <row r="372" spans="1:15" ht="12.75" x14ac:dyDescent="0.2">
      <c r="A372" s="126"/>
      <c r="B372" s="155"/>
      <c r="E372" s="156"/>
      <c r="H372" s="130"/>
      <c r="I372" s="130"/>
      <c r="J372" s="157"/>
      <c r="K372" s="158"/>
      <c r="L372" s="130"/>
      <c r="M372" s="130"/>
      <c r="O372" s="128"/>
    </row>
    <row r="373" spans="1:15" ht="12.75" x14ac:dyDescent="0.2">
      <c r="A373" s="126"/>
      <c r="B373" s="155"/>
      <c r="E373" s="156"/>
      <c r="H373" s="130"/>
      <c r="I373" s="130"/>
      <c r="J373" s="157"/>
      <c r="K373" s="158"/>
      <c r="L373" s="130"/>
      <c r="M373" s="130"/>
      <c r="O373" s="128"/>
    </row>
    <row r="374" spans="1:15" ht="12.75" x14ac:dyDescent="0.2">
      <c r="A374" s="126"/>
      <c r="B374" s="155"/>
      <c r="E374" s="156"/>
      <c r="H374" s="130"/>
      <c r="I374" s="130"/>
      <c r="J374" s="157"/>
      <c r="K374" s="158"/>
      <c r="L374" s="130"/>
      <c r="M374" s="130"/>
      <c r="O374" s="128"/>
    </row>
    <row r="375" spans="1:15" ht="12.75" x14ac:dyDescent="0.2">
      <c r="A375" s="126"/>
      <c r="B375" s="155"/>
      <c r="E375" s="156"/>
      <c r="H375" s="130"/>
      <c r="I375" s="130"/>
      <c r="J375" s="157"/>
      <c r="K375" s="158"/>
      <c r="L375" s="130"/>
      <c r="M375" s="130"/>
      <c r="O375" s="128"/>
    </row>
    <row r="376" spans="1:15" ht="12.75" x14ac:dyDescent="0.2">
      <c r="A376" s="126"/>
      <c r="B376" s="155"/>
      <c r="E376" s="156"/>
      <c r="H376" s="130"/>
      <c r="I376" s="130"/>
      <c r="J376" s="157"/>
      <c r="K376" s="158"/>
      <c r="L376" s="130"/>
      <c r="M376" s="130"/>
      <c r="O376" s="128"/>
    </row>
    <row r="377" spans="1:15" ht="12.75" x14ac:dyDescent="0.2">
      <c r="A377" s="126"/>
      <c r="B377" s="155"/>
      <c r="E377" s="156"/>
      <c r="H377" s="130"/>
      <c r="I377" s="130"/>
      <c r="J377" s="157"/>
      <c r="K377" s="158"/>
      <c r="L377" s="130"/>
      <c r="M377" s="130"/>
      <c r="O377" s="128"/>
    </row>
    <row r="378" spans="1:15" ht="12.75" x14ac:dyDescent="0.2">
      <c r="A378" s="126"/>
      <c r="B378" s="155"/>
      <c r="E378" s="156"/>
      <c r="H378" s="130"/>
      <c r="I378" s="130"/>
      <c r="J378" s="157"/>
      <c r="K378" s="158"/>
      <c r="L378" s="130"/>
      <c r="M378" s="130"/>
      <c r="O378" s="128"/>
    </row>
    <row r="379" spans="1:15" ht="12.75" x14ac:dyDescent="0.2">
      <c r="A379" s="126"/>
      <c r="B379" s="155"/>
      <c r="E379" s="156"/>
      <c r="H379" s="130"/>
      <c r="I379" s="130"/>
      <c r="J379" s="157"/>
      <c r="K379" s="158"/>
      <c r="L379" s="130"/>
      <c r="M379" s="130"/>
      <c r="O379" s="128"/>
    </row>
    <row r="380" spans="1:15" ht="12.75" x14ac:dyDescent="0.2">
      <c r="A380" s="126"/>
      <c r="B380" s="155"/>
      <c r="E380" s="156"/>
      <c r="H380" s="130"/>
      <c r="I380" s="130"/>
      <c r="J380" s="157"/>
      <c r="K380" s="158"/>
      <c r="L380" s="130"/>
      <c r="M380" s="130"/>
      <c r="O380" s="128"/>
    </row>
    <row r="381" spans="1:15" ht="12.75" x14ac:dyDescent="0.2">
      <c r="A381" s="126"/>
      <c r="B381" s="155"/>
      <c r="E381" s="156"/>
      <c r="H381" s="130"/>
      <c r="I381" s="130"/>
      <c r="J381" s="157"/>
      <c r="K381" s="158"/>
      <c r="L381" s="130"/>
      <c r="M381" s="130"/>
      <c r="O381" s="128"/>
    </row>
    <row r="382" spans="1:15" ht="12.75" x14ac:dyDescent="0.2">
      <c r="A382" s="126"/>
      <c r="B382" s="155"/>
      <c r="E382" s="156"/>
      <c r="H382" s="130"/>
      <c r="I382" s="130"/>
      <c r="J382" s="157"/>
      <c r="K382" s="158"/>
      <c r="L382" s="130"/>
      <c r="M382" s="130"/>
      <c r="O382" s="128"/>
    </row>
    <row r="383" spans="1:15" ht="12.75" x14ac:dyDescent="0.2">
      <c r="A383" s="126"/>
      <c r="B383" s="155"/>
      <c r="E383" s="156"/>
      <c r="H383" s="130"/>
      <c r="I383" s="130"/>
      <c r="J383" s="157"/>
      <c r="K383" s="158"/>
      <c r="L383" s="130"/>
      <c r="M383" s="130"/>
      <c r="O383" s="128"/>
    </row>
    <row r="384" spans="1:15" ht="12.75" x14ac:dyDescent="0.2">
      <c r="A384" s="126"/>
      <c r="B384" s="155"/>
      <c r="E384" s="156"/>
      <c r="H384" s="130"/>
      <c r="I384" s="130"/>
      <c r="J384" s="157"/>
      <c r="K384" s="158"/>
      <c r="L384" s="130"/>
      <c r="M384" s="130"/>
      <c r="O384" s="128"/>
    </row>
    <row r="385" spans="1:15" ht="12.75" x14ac:dyDescent="0.2">
      <c r="A385" s="126"/>
      <c r="B385" s="155"/>
      <c r="E385" s="156"/>
      <c r="H385" s="130"/>
      <c r="I385" s="130"/>
      <c r="J385" s="157"/>
      <c r="K385" s="158"/>
      <c r="L385" s="130"/>
      <c r="M385" s="130"/>
      <c r="O385" s="128"/>
    </row>
    <row r="386" spans="1:15" ht="12.75" x14ac:dyDescent="0.2">
      <c r="A386" s="126"/>
      <c r="B386" s="155"/>
      <c r="E386" s="156"/>
      <c r="H386" s="130"/>
      <c r="I386" s="130"/>
      <c r="J386" s="157"/>
      <c r="K386" s="158"/>
      <c r="L386" s="130"/>
      <c r="M386" s="130"/>
      <c r="O386" s="128"/>
    </row>
    <row r="387" spans="1:15" ht="12.75" x14ac:dyDescent="0.2">
      <c r="A387" s="126"/>
      <c r="B387" s="155"/>
      <c r="E387" s="156"/>
      <c r="H387" s="130"/>
      <c r="I387" s="130"/>
      <c r="J387" s="157"/>
      <c r="K387" s="158"/>
      <c r="L387" s="130"/>
      <c r="M387" s="130"/>
      <c r="O387" s="128"/>
    </row>
    <row r="388" spans="1:15" ht="12.75" x14ac:dyDescent="0.2">
      <c r="A388" s="126"/>
      <c r="B388" s="155"/>
      <c r="E388" s="156"/>
      <c r="H388" s="130"/>
      <c r="I388" s="130"/>
      <c r="J388" s="157"/>
      <c r="K388" s="158"/>
      <c r="L388" s="130"/>
      <c r="M388" s="130"/>
      <c r="O388" s="128"/>
    </row>
    <row r="389" spans="1:15" ht="12.75" x14ac:dyDescent="0.2">
      <c r="A389" s="126"/>
      <c r="B389" s="155"/>
      <c r="E389" s="156"/>
      <c r="H389" s="130"/>
      <c r="I389" s="130"/>
      <c r="J389" s="157"/>
      <c r="K389" s="158"/>
      <c r="L389" s="130"/>
      <c r="M389" s="130"/>
      <c r="O389" s="128"/>
    </row>
    <row r="390" spans="1:15" ht="12.75" x14ac:dyDescent="0.2">
      <c r="A390" s="126"/>
      <c r="B390" s="155"/>
      <c r="E390" s="156"/>
      <c r="H390" s="130"/>
      <c r="I390" s="130"/>
      <c r="J390" s="157"/>
      <c r="K390" s="158"/>
      <c r="L390" s="130"/>
      <c r="M390" s="130"/>
      <c r="O390" s="128"/>
    </row>
    <row r="391" spans="1:15" ht="12.75" x14ac:dyDescent="0.2">
      <c r="A391" s="126"/>
      <c r="B391" s="155"/>
      <c r="E391" s="156"/>
      <c r="H391" s="130"/>
      <c r="I391" s="130"/>
      <c r="J391" s="157"/>
      <c r="K391" s="158"/>
      <c r="L391" s="130"/>
      <c r="M391" s="130"/>
      <c r="O391" s="128"/>
    </row>
    <row r="392" spans="1:15" ht="12.75" x14ac:dyDescent="0.2">
      <c r="A392" s="126"/>
      <c r="B392" s="155"/>
      <c r="E392" s="156"/>
      <c r="H392" s="130"/>
      <c r="I392" s="130"/>
      <c r="J392" s="157"/>
      <c r="K392" s="158"/>
      <c r="L392" s="130"/>
      <c r="M392" s="130"/>
      <c r="O392" s="128"/>
    </row>
    <row r="393" spans="1:15" ht="12.75" x14ac:dyDescent="0.2">
      <c r="A393" s="126"/>
      <c r="B393" s="155"/>
      <c r="E393" s="156"/>
      <c r="H393" s="130"/>
      <c r="I393" s="130"/>
      <c r="J393" s="157"/>
      <c r="K393" s="158"/>
      <c r="L393" s="130"/>
      <c r="M393" s="130"/>
      <c r="O393" s="128"/>
    </row>
    <row r="394" spans="1:15" ht="12.75" x14ac:dyDescent="0.2">
      <c r="A394" s="126"/>
      <c r="B394" s="155"/>
      <c r="E394" s="156"/>
      <c r="H394" s="130"/>
      <c r="I394" s="130"/>
      <c r="J394" s="157"/>
      <c r="K394" s="158"/>
      <c r="L394" s="130"/>
      <c r="M394" s="130"/>
      <c r="O394" s="128"/>
    </row>
    <row r="395" spans="1:15" ht="12.75" x14ac:dyDescent="0.2">
      <c r="A395" s="126"/>
      <c r="B395" s="155"/>
      <c r="E395" s="156"/>
      <c r="H395" s="130"/>
      <c r="I395" s="130"/>
      <c r="J395" s="157"/>
      <c r="K395" s="158"/>
      <c r="L395" s="130"/>
      <c r="M395" s="130"/>
      <c r="O395" s="128"/>
    </row>
    <row r="396" spans="1:15" ht="12.75" x14ac:dyDescent="0.2">
      <c r="A396" s="126"/>
      <c r="B396" s="155"/>
      <c r="E396" s="156"/>
      <c r="H396" s="130"/>
      <c r="I396" s="130"/>
      <c r="J396" s="157"/>
      <c r="K396" s="158"/>
      <c r="L396" s="130"/>
      <c r="M396" s="130"/>
      <c r="O396" s="128"/>
    </row>
    <row r="397" spans="1:15" ht="12.75" x14ac:dyDescent="0.2">
      <c r="A397" s="126"/>
      <c r="B397" s="155"/>
      <c r="E397" s="156"/>
      <c r="H397" s="130"/>
      <c r="I397" s="130"/>
      <c r="J397" s="157"/>
      <c r="K397" s="158"/>
      <c r="L397" s="130"/>
      <c r="M397" s="130"/>
      <c r="O397" s="128"/>
    </row>
    <row r="398" spans="1:15" ht="12.75" x14ac:dyDescent="0.2">
      <c r="A398" s="126"/>
      <c r="B398" s="155"/>
      <c r="E398" s="156"/>
      <c r="H398" s="130"/>
      <c r="I398" s="130"/>
      <c r="J398" s="157"/>
      <c r="K398" s="158"/>
      <c r="L398" s="130"/>
      <c r="M398" s="130"/>
      <c r="O398" s="128"/>
    </row>
    <row r="399" spans="1:15" ht="12.75" x14ac:dyDescent="0.2">
      <c r="A399" s="126"/>
      <c r="B399" s="155"/>
      <c r="E399" s="156"/>
      <c r="H399" s="130"/>
      <c r="I399" s="130"/>
      <c r="J399" s="157"/>
      <c r="K399" s="158"/>
      <c r="L399" s="130"/>
      <c r="M399" s="130"/>
      <c r="O399" s="128"/>
    </row>
    <row r="400" spans="1:15" ht="12.75" x14ac:dyDescent="0.2">
      <c r="A400" s="126"/>
      <c r="B400" s="155"/>
      <c r="E400" s="156"/>
      <c r="H400" s="130"/>
      <c r="I400" s="130"/>
      <c r="J400" s="157"/>
      <c r="K400" s="158"/>
      <c r="L400" s="130"/>
      <c r="M400" s="130"/>
      <c r="O400" s="128"/>
    </row>
    <row r="401" spans="1:15" ht="12.75" x14ac:dyDescent="0.2">
      <c r="A401" s="126"/>
      <c r="B401" s="155"/>
      <c r="E401" s="156"/>
      <c r="H401" s="130"/>
      <c r="I401" s="130"/>
      <c r="J401" s="157"/>
      <c r="K401" s="158"/>
      <c r="L401" s="130"/>
      <c r="M401" s="130"/>
      <c r="O401" s="128"/>
    </row>
    <row r="402" spans="1:15" ht="12.75" x14ac:dyDescent="0.2">
      <c r="A402" s="126"/>
      <c r="B402" s="155"/>
      <c r="E402" s="156"/>
      <c r="H402" s="130"/>
      <c r="I402" s="130"/>
      <c r="J402" s="157"/>
      <c r="K402" s="158"/>
      <c r="L402" s="130"/>
      <c r="M402" s="130"/>
      <c r="O402" s="128"/>
    </row>
    <row r="403" spans="1:15" ht="12.75" x14ac:dyDescent="0.2">
      <c r="A403" s="126"/>
      <c r="B403" s="155"/>
      <c r="E403" s="156"/>
      <c r="H403" s="130"/>
      <c r="I403" s="130"/>
      <c r="J403" s="157"/>
      <c r="K403" s="158"/>
      <c r="L403" s="130"/>
      <c r="M403" s="130"/>
      <c r="O403" s="128"/>
    </row>
    <row r="404" spans="1:15" ht="12.75" x14ac:dyDescent="0.2">
      <c r="A404" s="126"/>
      <c r="B404" s="155"/>
      <c r="E404" s="156"/>
      <c r="H404" s="130"/>
      <c r="I404" s="130"/>
      <c r="J404" s="157"/>
      <c r="K404" s="158"/>
      <c r="L404" s="130"/>
      <c r="M404" s="130"/>
      <c r="O404" s="128"/>
    </row>
    <row r="405" spans="1:15" ht="12.75" x14ac:dyDescent="0.2">
      <c r="A405" s="126"/>
      <c r="B405" s="155"/>
      <c r="E405" s="156"/>
      <c r="H405" s="130"/>
      <c r="I405" s="130"/>
      <c r="J405" s="157"/>
      <c r="K405" s="158"/>
      <c r="L405" s="130"/>
      <c r="M405" s="130"/>
      <c r="O405" s="128"/>
    </row>
    <row r="406" spans="1:15" ht="12.75" x14ac:dyDescent="0.2">
      <c r="A406" s="126"/>
      <c r="B406" s="155"/>
      <c r="E406" s="156"/>
      <c r="H406" s="130"/>
      <c r="I406" s="130"/>
      <c r="J406" s="157"/>
      <c r="K406" s="158"/>
      <c r="L406" s="130"/>
      <c r="M406" s="130"/>
      <c r="O406" s="128"/>
    </row>
    <row r="407" spans="1:15" ht="12.75" x14ac:dyDescent="0.2">
      <c r="A407" s="126"/>
      <c r="B407" s="155"/>
      <c r="E407" s="156"/>
      <c r="H407" s="130"/>
      <c r="I407" s="130"/>
      <c r="J407" s="157"/>
      <c r="K407" s="158"/>
      <c r="L407" s="130"/>
      <c r="M407" s="130"/>
      <c r="O407" s="128"/>
    </row>
    <row r="408" spans="1:15" ht="12.75" x14ac:dyDescent="0.2">
      <c r="A408" s="126"/>
      <c r="B408" s="155"/>
      <c r="E408" s="156"/>
      <c r="H408" s="130"/>
      <c r="I408" s="130"/>
      <c r="J408" s="157"/>
      <c r="K408" s="158"/>
      <c r="L408" s="130"/>
      <c r="M408" s="130"/>
      <c r="O408" s="128"/>
    </row>
    <row r="409" spans="1:15" ht="12.75" x14ac:dyDescent="0.2">
      <c r="A409" s="126"/>
      <c r="B409" s="155"/>
      <c r="E409" s="156"/>
      <c r="H409" s="130"/>
      <c r="I409" s="130"/>
      <c r="J409" s="157"/>
      <c r="K409" s="158"/>
      <c r="L409" s="130"/>
      <c r="M409" s="130"/>
      <c r="O409" s="128"/>
    </row>
    <row r="410" spans="1:15" ht="12.75" x14ac:dyDescent="0.2">
      <c r="A410" s="126"/>
      <c r="B410" s="155"/>
      <c r="E410" s="156"/>
      <c r="H410" s="130"/>
      <c r="I410" s="130"/>
      <c r="J410" s="157"/>
      <c r="K410" s="158"/>
      <c r="L410" s="130"/>
      <c r="M410" s="130"/>
      <c r="O410" s="128"/>
    </row>
    <row r="411" spans="1:15" ht="12.75" x14ac:dyDescent="0.2">
      <c r="A411" s="126"/>
      <c r="B411" s="155"/>
      <c r="E411" s="156"/>
      <c r="H411" s="130"/>
      <c r="I411" s="130"/>
      <c r="J411" s="157"/>
      <c r="K411" s="158"/>
      <c r="L411" s="130"/>
      <c r="M411" s="130"/>
      <c r="O411" s="128"/>
    </row>
    <row r="412" spans="1:15" ht="12.75" x14ac:dyDescent="0.2">
      <c r="A412" s="126"/>
      <c r="B412" s="155"/>
      <c r="E412" s="156"/>
      <c r="H412" s="130"/>
      <c r="I412" s="130"/>
      <c r="J412" s="157"/>
      <c r="K412" s="158"/>
      <c r="L412" s="130"/>
      <c r="M412" s="130"/>
      <c r="O412" s="128"/>
    </row>
    <row r="413" spans="1:15" ht="12.75" x14ac:dyDescent="0.2">
      <c r="A413" s="126"/>
      <c r="B413" s="155"/>
      <c r="E413" s="156"/>
      <c r="H413" s="130"/>
      <c r="I413" s="130"/>
      <c r="J413" s="157"/>
      <c r="K413" s="158"/>
      <c r="L413" s="130"/>
      <c r="M413" s="130"/>
      <c r="O413" s="128"/>
    </row>
    <row r="414" spans="1:15" ht="12.75" x14ac:dyDescent="0.2">
      <c r="A414" s="126"/>
      <c r="B414" s="155"/>
      <c r="E414" s="156"/>
      <c r="H414" s="130"/>
      <c r="I414" s="130"/>
      <c r="J414" s="157"/>
      <c r="K414" s="158"/>
      <c r="L414" s="130"/>
      <c r="M414" s="130"/>
      <c r="O414" s="128"/>
    </row>
    <row r="415" spans="1:15" ht="12.75" x14ac:dyDescent="0.2">
      <c r="A415" s="126"/>
      <c r="B415" s="155"/>
      <c r="E415" s="156"/>
      <c r="H415" s="130"/>
      <c r="I415" s="130"/>
      <c r="J415" s="157"/>
      <c r="K415" s="158"/>
      <c r="L415" s="130"/>
      <c r="M415" s="130"/>
      <c r="O415" s="128"/>
    </row>
    <row r="416" spans="1:15" ht="12.75" x14ac:dyDescent="0.2">
      <c r="A416" s="126"/>
      <c r="B416" s="155"/>
      <c r="E416" s="156"/>
      <c r="H416" s="130"/>
      <c r="I416" s="130"/>
      <c r="J416" s="157"/>
      <c r="K416" s="158"/>
      <c r="L416" s="130"/>
      <c r="M416" s="130"/>
      <c r="O416" s="128"/>
    </row>
    <row r="417" spans="1:15" ht="12.75" x14ac:dyDescent="0.2">
      <c r="A417" s="126"/>
      <c r="B417" s="155"/>
      <c r="E417" s="156"/>
      <c r="H417" s="130"/>
      <c r="I417" s="130"/>
      <c r="J417" s="157"/>
      <c r="K417" s="158"/>
      <c r="L417" s="130"/>
      <c r="M417" s="130"/>
      <c r="O417" s="128"/>
    </row>
    <row r="418" spans="1:15" ht="12.75" x14ac:dyDescent="0.2">
      <c r="A418" s="126"/>
      <c r="B418" s="155"/>
      <c r="E418" s="156"/>
      <c r="H418" s="130"/>
      <c r="I418" s="130"/>
      <c r="J418" s="157"/>
      <c r="K418" s="158"/>
      <c r="L418" s="130"/>
      <c r="M418" s="130"/>
      <c r="O418" s="128"/>
    </row>
    <row r="419" spans="1:15" ht="12.75" x14ac:dyDescent="0.2">
      <c r="A419" s="126"/>
      <c r="B419" s="155"/>
      <c r="E419" s="156"/>
      <c r="H419" s="130"/>
      <c r="I419" s="130"/>
      <c r="J419" s="157"/>
      <c r="K419" s="158"/>
      <c r="L419" s="130"/>
      <c r="M419" s="130"/>
      <c r="O419" s="128"/>
    </row>
    <row r="420" spans="1:15" ht="12.75" x14ac:dyDescent="0.2">
      <c r="A420" s="126"/>
      <c r="B420" s="155"/>
      <c r="E420" s="156"/>
      <c r="H420" s="130"/>
      <c r="I420" s="130"/>
      <c r="J420" s="157"/>
      <c r="K420" s="158"/>
      <c r="L420" s="130"/>
      <c r="M420" s="130"/>
      <c r="O420" s="128"/>
    </row>
    <row r="421" spans="1:15" ht="12.75" x14ac:dyDescent="0.2">
      <c r="A421" s="126"/>
      <c r="B421" s="155"/>
      <c r="E421" s="156"/>
      <c r="H421" s="130"/>
      <c r="I421" s="130"/>
      <c r="J421" s="157"/>
      <c r="K421" s="158"/>
      <c r="L421" s="130"/>
      <c r="M421" s="130"/>
      <c r="O421" s="128"/>
    </row>
    <row r="422" spans="1:15" ht="12.75" x14ac:dyDescent="0.2">
      <c r="A422" s="126"/>
      <c r="B422" s="155"/>
      <c r="E422" s="156"/>
      <c r="H422" s="130"/>
      <c r="I422" s="130"/>
      <c r="J422" s="157"/>
      <c r="K422" s="158"/>
      <c r="L422" s="130"/>
      <c r="M422" s="130"/>
      <c r="O422" s="128"/>
    </row>
    <row r="423" spans="1:15" ht="12.75" x14ac:dyDescent="0.2">
      <c r="A423" s="126"/>
      <c r="B423" s="155"/>
      <c r="E423" s="156"/>
      <c r="H423" s="130"/>
      <c r="I423" s="130"/>
      <c r="J423" s="157"/>
      <c r="K423" s="158"/>
      <c r="L423" s="130"/>
      <c r="M423" s="130"/>
      <c r="O423" s="128"/>
    </row>
    <row r="424" spans="1:15" ht="12.75" x14ac:dyDescent="0.2">
      <c r="A424" s="126"/>
      <c r="B424" s="155"/>
      <c r="E424" s="156"/>
      <c r="H424" s="130"/>
      <c r="I424" s="130"/>
      <c r="J424" s="157"/>
      <c r="K424" s="158"/>
      <c r="L424" s="130"/>
      <c r="M424" s="130"/>
      <c r="O424" s="128"/>
    </row>
    <row r="425" spans="1:15" ht="12.75" x14ac:dyDescent="0.2">
      <c r="A425" s="126"/>
      <c r="B425" s="155"/>
      <c r="E425" s="156"/>
      <c r="H425" s="130"/>
      <c r="I425" s="130"/>
      <c r="J425" s="157"/>
      <c r="K425" s="158"/>
      <c r="L425" s="130"/>
      <c r="M425" s="130"/>
      <c r="O425" s="128"/>
    </row>
    <row r="426" spans="1:15" ht="12.75" x14ac:dyDescent="0.2">
      <c r="A426" s="126"/>
      <c r="B426" s="155"/>
      <c r="E426" s="156"/>
      <c r="H426" s="130"/>
      <c r="I426" s="130"/>
      <c r="J426" s="157"/>
      <c r="K426" s="158"/>
      <c r="L426" s="130"/>
      <c r="M426" s="130"/>
      <c r="O426" s="128"/>
    </row>
    <row r="427" spans="1:15" ht="12.75" x14ac:dyDescent="0.2">
      <c r="A427" s="126"/>
      <c r="B427" s="155"/>
      <c r="E427" s="156"/>
      <c r="H427" s="130"/>
      <c r="I427" s="130"/>
      <c r="J427" s="157"/>
      <c r="K427" s="158"/>
      <c r="L427" s="130"/>
      <c r="M427" s="130"/>
      <c r="O427" s="128"/>
    </row>
    <row r="428" spans="1:15" ht="12.75" x14ac:dyDescent="0.2">
      <c r="A428" s="126"/>
      <c r="B428" s="155"/>
      <c r="E428" s="156"/>
      <c r="H428" s="130"/>
      <c r="I428" s="130"/>
      <c r="J428" s="157"/>
      <c r="K428" s="158"/>
      <c r="L428" s="130"/>
      <c r="M428" s="130"/>
      <c r="O428" s="128"/>
    </row>
    <row r="429" spans="1:15" ht="12.75" x14ac:dyDescent="0.2">
      <c r="A429" s="126"/>
      <c r="B429" s="155"/>
      <c r="E429" s="156"/>
      <c r="H429" s="130"/>
      <c r="I429" s="130"/>
      <c r="J429" s="157"/>
      <c r="K429" s="158"/>
      <c r="L429" s="130"/>
      <c r="M429" s="130"/>
      <c r="O429" s="128"/>
    </row>
    <row r="430" spans="1:15" ht="12.75" x14ac:dyDescent="0.2">
      <c r="A430" s="126"/>
      <c r="B430" s="155"/>
      <c r="E430" s="156"/>
      <c r="H430" s="130"/>
      <c r="I430" s="130"/>
      <c r="J430" s="157"/>
      <c r="K430" s="158"/>
      <c r="L430" s="130"/>
      <c r="M430" s="130"/>
      <c r="O430" s="128"/>
    </row>
    <row r="431" spans="1:15" ht="12.75" x14ac:dyDescent="0.2">
      <c r="A431" s="126"/>
      <c r="B431" s="155"/>
      <c r="E431" s="156"/>
      <c r="H431" s="130"/>
      <c r="I431" s="130"/>
      <c r="J431" s="157"/>
      <c r="K431" s="158"/>
      <c r="L431" s="130"/>
      <c r="M431" s="130"/>
      <c r="O431" s="128"/>
    </row>
    <row r="432" spans="1:15" ht="12.75" x14ac:dyDescent="0.2">
      <c r="A432" s="126"/>
      <c r="B432" s="155"/>
      <c r="E432" s="156"/>
      <c r="H432" s="130"/>
      <c r="I432" s="130"/>
      <c r="J432" s="157"/>
      <c r="K432" s="158"/>
      <c r="L432" s="130"/>
      <c r="M432" s="130"/>
      <c r="O432" s="128"/>
    </row>
    <row r="433" spans="1:15" ht="12.75" x14ac:dyDescent="0.2">
      <c r="A433" s="126"/>
      <c r="B433" s="155"/>
      <c r="E433" s="156"/>
      <c r="H433" s="130"/>
      <c r="I433" s="130"/>
      <c r="J433" s="157"/>
      <c r="K433" s="158"/>
      <c r="L433" s="130"/>
      <c r="M433" s="130"/>
      <c r="O433" s="128"/>
    </row>
    <row r="434" spans="1:15" ht="12.75" x14ac:dyDescent="0.2">
      <c r="A434" s="126"/>
      <c r="B434" s="155"/>
      <c r="E434" s="156"/>
      <c r="H434" s="130"/>
      <c r="I434" s="130"/>
      <c r="J434" s="157"/>
      <c r="K434" s="158"/>
      <c r="L434" s="130"/>
      <c r="M434" s="130"/>
      <c r="O434" s="128"/>
    </row>
    <row r="435" spans="1:15" ht="12.75" x14ac:dyDescent="0.2">
      <c r="A435" s="126"/>
      <c r="B435" s="155"/>
      <c r="E435" s="156"/>
      <c r="H435" s="130"/>
      <c r="I435" s="130"/>
      <c r="J435" s="157"/>
      <c r="K435" s="158"/>
      <c r="L435" s="130"/>
      <c r="M435" s="130"/>
      <c r="O435" s="128"/>
    </row>
    <row r="436" spans="1:15" ht="12.75" x14ac:dyDescent="0.2">
      <c r="A436" s="126"/>
      <c r="B436" s="155"/>
      <c r="E436" s="156"/>
      <c r="H436" s="130"/>
      <c r="I436" s="130"/>
      <c r="J436" s="157"/>
      <c r="K436" s="158"/>
      <c r="L436" s="130"/>
      <c r="M436" s="130"/>
      <c r="O436" s="128"/>
    </row>
    <row r="437" spans="1:15" ht="12.75" x14ac:dyDescent="0.2">
      <c r="A437" s="126"/>
      <c r="B437" s="155"/>
      <c r="E437" s="156"/>
      <c r="H437" s="130"/>
      <c r="I437" s="130"/>
      <c r="J437" s="157"/>
      <c r="K437" s="158"/>
      <c r="L437" s="130"/>
      <c r="M437" s="130"/>
      <c r="O437" s="128"/>
    </row>
    <row r="438" spans="1:15" ht="12.75" x14ac:dyDescent="0.2">
      <c r="A438" s="126"/>
      <c r="B438" s="155"/>
      <c r="E438" s="156"/>
      <c r="H438" s="130"/>
      <c r="I438" s="130"/>
      <c r="J438" s="157"/>
      <c r="K438" s="158"/>
      <c r="L438" s="130"/>
      <c r="M438" s="130"/>
      <c r="O438" s="128"/>
    </row>
    <row r="439" spans="1:15" ht="12.75" x14ac:dyDescent="0.2">
      <c r="A439" s="126"/>
      <c r="B439" s="155"/>
      <c r="E439" s="156"/>
      <c r="H439" s="130"/>
      <c r="I439" s="130"/>
      <c r="J439" s="157"/>
      <c r="K439" s="158"/>
      <c r="L439" s="130"/>
      <c r="M439" s="130"/>
      <c r="O439" s="128"/>
    </row>
    <row r="440" spans="1:15" ht="12.75" x14ac:dyDescent="0.2">
      <c r="A440" s="126"/>
      <c r="B440" s="155"/>
      <c r="E440" s="156"/>
      <c r="H440" s="130"/>
      <c r="I440" s="130"/>
      <c r="J440" s="157"/>
      <c r="K440" s="158"/>
      <c r="L440" s="130"/>
      <c r="M440" s="130"/>
      <c r="O440" s="128"/>
    </row>
    <row r="441" spans="1:15" ht="12.75" x14ac:dyDescent="0.2">
      <c r="A441" s="126"/>
      <c r="B441" s="155"/>
      <c r="E441" s="156"/>
      <c r="H441" s="130"/>
      <c r="I441" s="130"/>
      <c r="J441" s="157"/>
      <c r="K441" s="158"/>
      <c r="L441" s="130"/>
      <c r="M441" s="130"/>
      <c r="O441" s="128"/>
    </row>
    <row r="442" spans="1:15" ht="12.75" x14ac:dyDescent="0.2">
      <c r="A442" s="126"/>
      <c r="B442" s="155"/>
      <c r="E442" s="156"/>
      <c r="H442" s="130"/>
      <c r="I442" s="130"/>
      <c r="J442" s="157"/>
      <c r="K442" s="158"/>
      <c r="L442" s="130"/>
      <c r="M442" s="130"/>
      <c r="O442" s="128"/>
    </row>
    <row r="443" spans="1:15" ht="12.75" x14ac:dyDescent="0.2">
      <c r="A443" s="126"/>
      <c r="B443" s="155"/>
      <c r="E443" s="156"/>
      <c r="H443" s="130"/>
      <c r="I443" s="130"/>
      <c r="J443" s="157"/>
      <c r="K443" s="158"/>
      <c r="L443" s="130"/>
      <c r="M443" s="130"/>
      <c r="O443" s="128"/>
    </row>
    <row r="444" spans="1:15" ht="12.75" x14ac:dyDescent="0.2">
      <c r="A444" s="126"/>
      <c r="B444" s="155"/>
      <c r="E444" s="156"/>
      <c r="H444" s="130"/>
      <c r="I444" s="130"/>
      <c r="J444" s="157"/>
      <c r="K444" s="158"/>
      <c r="L444" s="130"/>
      <c r="M444" s="130"/>
      <c r="O444" s="128"/>
    </row>
    <row r="445" spans="1:15" ht="12.75" x14ac:dyDescent="0.2">
      <c r="A445" s="126"/>
      <c r="B445" s="155"/>
      <c r="E445" s="156"/>
      <c r="H445" s="130"/>
      <c r="I445" s="130"/>
      <c r="J445" s="157"/>
      <c r="K445" s="158"/>
      <c r="L445" s="130"/>
      <c r="M445" s="130"/>
      <c r="O445" s="128"/>
    </row>
    <row r="446" spans="1:15" ht="12.75" x14ac:dyDescent="0.2">
      <c r="A446" s="126"/>
      <c r="B446" s="155"/>
      <c r="E446" s="156"/>
      <c r="H446" s="130"/>
      <c r="I446" s="130"/>
      <c r="J446" s="157"/>
      <c r="K446" s="158"/>
      <c r="L446" s="130"/>
      <c r="M446" s="130"/>
      <c r="O446" s="128"/>
    </row>
    <row r="447" spans="1:15" ht="12.75" x14ac:dyDescent="0.2">
      <c r="A447" s="126"/>
      <c r="B447" s="155"/>
      <c r="E447" s="156"/>
      <c r="H447" s="130"/>
      <c r="I447" s="130"/>
      <c r="J447" s="157"/>
      <c r="K447" s="158"/>
      <c r="L447" s="130"/>
      <c r="M447" s="130"/>
      <c r="O447" s="128"/>
    </row>
    <row r="448" spans="1:15" ht="12.75" x14ac:dyDescent="0.2">
      <c r="A448" s="126"/>
      <c r="B448" s="155"/>
      <c r="E448" s="156"/>
      <c r="H448" s="130"/>
      <c r="I448" s="130"/>
      <c r="J448" s="157"/>
      <c r="K448" s="158"/>
      <c r="L448" s="130"/>
      <c r="M448" s="130"/>
      <c r="O448" s="128"/>
    </row>
    <row r="449" spans="1:15" ht="12.75" x14ac:dyDescent="0.2">
      <c r="A449" s="126"/>
      <c r="B449" s="155"/>
      <c r="E449" s="156"/>
      <c r="H449" s="130"/>
      <c r="I449" s="130"/>
      <c r="J449" s="157"/>
      <c r="K449" s="158"/>
      <c r="L449" s="130"/>
      <c r="M449" s="130"/>
      <c r="O449" s="128"/>
    </row>
    <row r="450" spans="1:15" ht="12.75" x14ac:dyDescent="0.2">
      <c r="A450" s="126"/>
      <c r="B450" s="155"/>
      <c r="E450" s="156"/>
      <c r="H450" s="130"/>
      <c r="I450" s="130"/>
      <c r="J450" s="157"/>
      <c r="K450" s="158"/>
      <c r="L450" s="130"/>
      <c r="M450" s="130"/>
      <c r="O450" s="128"/>
    </row>
    <row r="451" spans="1:15" ht="12.75" x14ac:dyDescent="0.2">
      <c r="A451" s="126"/>
      <c r="B451" s="155"/>
      <c r="E451" s="156"/>
      <c r="H451" s="130"/>
      <c r="I451" s="130"/>
      <c r="J451" s="157"/>
      <c r="K451" s="158"/>
      <c r="L451" s="130"/>
      <c r="M451" s="130"/>
      <c r="O451" s="128"/>
    </row>
    <row r="452" spans="1:15" ht="12.75" x14ac:dyDescent="0.2">
      <c r="A452" s="126"/>
      <c r="B452" s="155"/>
      <c r="E452" s="156"/>
      <c r="H452" s="130"/>
      <c r="I452" s="130"/>
      <c r="J452" s="157"/>
      <c r="K452" s="158"/>
      <c r="L452" s="130"/>
      <c r="M452" s="130"/>
      <c r="O452" s="128"/>
    </row>
    <row r="453" spans="1:15" ht="12.75" x14ac:dyDescent="0.2">
      <c r="A453" s="126"/>
      <c r="B453" s="155"/>
      <c r="E453" s="156"/>
      <c r="H453" s="130"/>
      <c r="I453" s="130"/>
      <c r="J453" s="157"/>
      <c r="K453" s="158"/>
      <c r="L453" s="130"/>
      <c r="M453" s="130"/>
      <c r="O453" s="128"/>
    </row>
    <row r="454" spans="1:15" ht="12.75" x14ac:dyDescent="0.2">
      <c r="A454" s="126"/>
      <c r="B454" s="155"/>
      <c r="E454" s="156"/>
      <c r="H454" s="130"/>
      <c r="I454" s="130"/>
      <c r="J454" s="157"/>
      <c r="K454" s="158"/>
      <c r="L454" s="130"/>
      <c r="M454" s="130"/>
      <c r="O454" s="128"/>
    </row>
    <row r="455" spans="1:15" ht="12.75" x14ac:dyDescent="0.2">
      <c r="A455" s="126"/>
      <c r="B455" s="155"/>
      <c r="E455" s="156"/>
      <c r="H455" s="130"/>
      <c r="I455" s="130"/>
      <c r="J455" s="157"/>
      <c r="K455" s="158"/>
      <c r="L455" s="130"/>
      <c r="M455" s="130"/>
      <c r="O455" s="128"/>
    </row>
    <row r="456" spans="1:15" ht="12.75" x14ac:dyDescent="0.2">
      <c r="A456" s="126"/>
      <c r="B456" s="155"/>
      <c r="E456" s="156"/>
      <c r="H456" s="130"/>
      <c r="I456" s="130"/>
      <c r="J456" s="157"/>
      <c r="K456" s="158"/>
      <c r="L456" s="130"/>
      <c r="M456" s="130"/>
      <c r="O456" s="128"/>
    </row>
    <row r="457" spans="1:15" ht="12.75" x14ac:dyDescent="0.2">
      <c r="A457" s="126"/>
      <c r="B457" s="155"/>
      <c r="E457" s="156"/>
      <c r="H457" s="130"/>
      <c r="I457" s="130"/>
      <c r="J457" s="157"/>
      <c r="K457" s="158"/>
      <c r="L457" s="130"/>
      <c r="M457" s="130"/>
      <c r="O457" s="128"/>
    </row>
    <row r="458" spans="1:15" ht="12.75" x14ac:dyDescent="0.2">
      <c r="A458" s="126"/>
      <c r="B458" s="155"/>
      <c r="E458" s="156"/>
      <c r="H458" s="130"/>
      <c r="I458" s="130"/>
      <c r="J458" s="157"/>
      <c r="K458" s="158"/>
      <c r="L458" s="130"/>
      <c r="M458" s="130"/>
      <c r="O458" s="128"/>
    </row>
    <row r="459" spans="1:15" ht="12.75" x14ac:dyDescent="0.2">
      <c r="A459" s="126"/>
      <c r="B459" s="155"/>
      <c r="E459" s="156"/>
      <c r="H459" s="130"/>
      <c r="I459" s="130"/>
      <c r="J459" s="157"/>
      <c r="K459" s="158"/>
      <c r="L459" s="130"/>
      <c r="M459" s="130"/>
      <c r="O459" s="128"/>
    </row>
    <row r="460" spans="1:15" ht="12.75" x14ac:dyDescent="0.2">
      <c r="A460" s="126"/>
      <c r="B460" s="155"/>
      <c r="E460" s="156"/>
      <c r="H460" s="130"/>
      <c r="I460" s="130"/>
      <c r="J460" s="157"/>
      <c r="K460" s="158"/>
      <c r="L460" s="130"/>
      <c r="M460" s="130"/>
      <c r="O460" s="128"/>
    </row>
    <row r="461" spans="1:15" ht="12.75" x14ac:dyDescent="0.2">
      <c r="A461" s="126"/>
      <c r="B461" s="155"/>
      <c r="E461" s="156"/>
      <c r="H461" s="130"/>
      <c r="I461" s="130"/>
      <c r="J461" s="157"/>
      <c r="K461" s="158"/>
      <c r="L461" s="130"/>
      <c r="M461" s="130"/>
      <c r="O461" s="128"/>
    </row>
    <row r="462" spans="1:15" ht="12.75" x14ac:dyDescent="0.2">
      <c r="A462" s="126"/>
      <c r="B462" s="155"/>
      <c r="E462" s="156"/>
      <c r="H462" s="130"/>
      <c r="I462" s="130"/>
      <c r="J462" s="157"/>
      <c r="K462" s="158"/>
      <c r="L462" s="130"/>
      <c r="M462" s="130"/>
      <c r="O462" s="128"/>
    </row>
    <row r="463" spans="1:15" ht="12.75" x14ac:dyDescent="0.2">
      <c r="A463" s="126"/>
      <c r="B463" s="155"/>
      <c r="E463" s="156"/>
      <c r="H463" s="130"/>
      <c r="I463" s="130"/>
      <c r="J463" s="157"/>
      <c r="K463" s="158"/>
      <c r="L463" s="130"/>
      <c r="M463" s="130"/>
      <c r="O463" s="128"/>
    </row>
    <row r="464" spans="1:15" ht="12.75" x14ac:dyDescent="0.2">
      <c r="A464" s="126"/>
      <c r="B464" s="155"/>
      <c r="E464" s="156"/>
      <c r="H464" s="130"/>
      <c r="I464" s="130"/>
      <c r="J464" s="157"/>
      <c r="K464" s="158"/>
      <c r="L464" s="130"/>
      <c r="M464" s="130"/>
      <c r="O464" s="128"/>
    </row>
    <row r="465" spans="1:15" ht="12.75" x14ac:dyDescent="0.2">
      <c r="A465" s="126"/>
      <c r="B465" s="155"/>
      <c r="E465" s="156"/>
      <c r="H465" s="130"/>
      <c r="I465" s="130"/>
      <c r="J465" s="157"/>
      <c r="K465" s="158"/>
      <c r="L465" s="130"/>
      <c r="M465" s="130"/>
      <c r="O465" s="128"/>
    </row>
    <row r="466" spans="1:15" ht="12.75" x14ac:dyDescent="0.2">
      <c r="A466" s="126"/>
      <c r="B466" s="155"/>
      <c r="E466" s="156"/>
      <c r="H466" s="130"/>
      <c r="I466" s="130"/>
      <c r="J466" s="157"/>
      <c r="K466" s="158"/>
      <c r="L466" s="130"/>
      <c r="M466" s="130"/>
      <c r="O466" s="128"/>
    </row>
    <row r="467" spans="1:15" ht="12.75" x14ac:dyDescent="0.2">
      <c r="A467" s="126"/>
      <c r="B467" s="155"/>
      <c r="E467" s="156"/>
      <c r="H467" s="130"/>
      <c r="I467" s="130"/>
      <c r="J467" s="157"/>
      <c r="K467" s="158"/>
      <c r="L467" s="130"/>
      <c r="M467" s="130"/>
      <c r="O467" s="128"/>
    </row>
    <row r="468" spans="1:15" ht="12.75" x14ac:dyDescent="0.2">
      <c r="A468" s="126"/>
      <c r="B468" s="155"/>
      <c r="E468" s="156"/>
      <c r="H468" s="130"/>
      <c r="I468" s="130"/>
      <c r="J468" s="157"/>
      <c r="K468" s="158"/>
      <c r="L468" s="130"/>
      <c r="M468" s="130"/>
      <c r="O468" s="128"/>
    </row>
    <row r="469" spans="1:15" ht="12.75" x14ac:dyDescent="0.2">
      <c r="A469" s="126"/>
      <c r="B469" s="155"/>
      <c r="E469" s="156"/>
      <c r="H469" s="130"/>
      <c r="I469" s="130"/>
      <c r="J469" s="157"/>
      <c r="K469" s="158"/>
      <c r="L469" s="130"/>
      <c r="M469" s="130"/>
      <c r="O469" s="128"/>
    </row>
    <row r="470" spans="1:15" ht="12.75" x14ac:dyDescent="0.2">
      <c r="A470" s="126"/>
      <c r="B470" s="155"/>
      <c r="E470" s="156"/>
      <c r="H470" s="130"/>
      <c r="I470" s="130"/>
      <c r="J470" s="157"/>
      <c r="K470" s="158"/>
      <c r="L470" s="130"/>
      <c r="M470" s="130"/>
      <c r="O470" s="128"/>
    </row>
    <row r="471" spans="1:15" ht="12.75" x14ac:dyDescent="0.2">
      <c r="A471" s="126"/>
      <c r="B471" s="155"/>
      <c r="E471" s="156"/>
      <c r="H471" s="130"/>
      <c r="I471" s="130"/>
      <c r="J471" s="157"/>
      <c r="K471" s="158"/>
      <c r="L471" s="130"/>
      <c r="M471" s="130"/>
      <c r="O471" s="128"/>
    </row>
    <row r="472" spans="1:15" ht="12.75" x14ac:dyDescent="0.2">
      <c r="A472" s="126"/>
      <c r="B472" s="155"/>
      <c r="E472" s="156"/>
      <c r="H472" s="130"/>
      <c r="I472" s="130"/>
      <c r="J472" s="157"/>
      <c r="K472" s="158"/>
      <c r="L472" s="130"/>
      <c r="M472" s="130"/>
      <c r="O472" s="128"/>
    </row>
    <row r="473" spans="1:15" ht="12.75" x14ac:dyDescent="0.2">
      <c r="A473" s="126"/>
      <c r="B473" s="155"/>
      <c r="E473" s="156"/>
      <c r="H473" s="130"/>
      <c r="I473" s="130"/>
      <c r="J473" s="157"/>
      <c r="K473" s="158"/>
      <c r="L473" s="130"/>
      <c r="M473" s="130"/>
      <c r="O473" s="128"/>
    </row>
    <row r="474" spans="1:15" ht="12.75" x14ac:dyDescent="0.2">
      <c r="A474" s="126"/>
      <c r="B474" s="155"/>
      <c r="E474" s="156"/>
      <c r="H474" s="130"/>
      <c r="I474" s="130"/>
      <c r="J474" s="157"/>
      <c r="K474" s="158"/>
      <c r="L474" s="130"/>
      <c r="M474" s="130"/>
      <c r="O474" s="128"/>
    </row>
    <row r="475" spans="1:15" ht="12.75" x14ac:dyDescent="0.2">
      <c r="A475" s="126"/>
      <c r="B475" s="155"/>
      <c r="E475" s="156"/>
      <c r="H475" s="130"/>
      <c r="I475" s="130"/>
      <c r="J475" s="157"/>
      <c r="K475" s="158"/>
      <c r="L475" s="130"/>
      <c r="M475" s="130"/>
      <c r="O475" s="128"/>
    </row>
    <row r="476" spans="1:15" ht="12.75" x14ac:dyDescent="0.2">
      <c r="A476" s="126"/>
      <c r="B476" s="155"/>
      <c r="E476" s="156"/>
      <c r="H476" s="130"/>
      <c r="I476" s="130"/>
      <c r="J476" s="157"/>
      <c r="K476" s="158"/>
      <c r="L476" s="130"/>
      <c r="M476" s="130"/>
      <c r="O476" s="128"/>
    </row>
    <row r="477" spans="1:15" ht="12.75" x14ac:dyDescent="0.2">
      <c r="A477" s="126"/>
      <c r="B477" s="155"/>
      <c r="E477" s="156"/>
      <c r="H477" s="130"/>
      <c r="I477" s="130"/>
      <c r="J477" s="157"/>
      <c r="K477" s="158"/>
      <c r="L477" s="130"/>
      <c r="M477" s="130"/>
      <c r="O477" s="128"/>
    </row>
    <row r="478" spans="1:15" ht="12.75" x14ac:dyDescent="0.2">
      <c r="A478" s="126"/>
      <c r="B478" s="155"/>
      <c r="E478" s="156"/>
      <c r="H478" s="130"/>
      <c r="I478" s="130"/>
      <c r="J478" s="157"/>
      <c r="K478" s="158"/>
      <c r="L478" s="130"/>
      <c r="M478" s="130"/>
      <c r="O478" s="128"/>
    </row>
    <row r="479" spans="1:15" ht="12.75" x14ac:dyDescent="0.2">
      <c r="A479" s="126"/>
      <c r="B479" s="155"/>
      <c r="E479" s="156"/>
      <c r="H479" s="130"/>
      <c r="I479" s="130"/>
      <c r="J479" s="157"/>
      <c r="K479" s="158"/>
      <c r="L479" s="130"/>
      <c r="M479" s="130"/>
      <c r="O479" s="128"/>
    </row>
    <row r="480" spans="1:15" ht="12.75" x14ac:dyDescent="0.2">
      <c r="A480" s="126"/>
      <c r="B480" s="155"/>
      <c r="E480" s="156"/>
      <c r="H480" s="130"/>
      <c r="I480" s="130"/>
      <c r="J480" s="157"/>
      <c r="K480" s="158"/>
      <c r="L480" s="130"/>
      <c r="M480" s="130"/>
      <c r="O480" s="128"/>
    </row>
    <row r="481" spans="1:15" ht="12.75" x14ac:dyDescent="0.2">
      <c r="A481" s="126"/>
      <c r="B481" s="155"/>
      <c r="E481" s="156"/>
      <c r="H481" s="130"/>
      <c r="I481" s="130"/>
      <c r="J481" s="157"/>
      <c r="K481" s="158"/>
      <c r="L481" s="130"/>
      <c r="M481" s="130"/>
      <c r="O481" s="128"/>
    </row>
    <row r="482" spans="1:15" ht="12.75" x14ac:dyDescent="0.2">
      <c r="A482" s="126"/>
      <c r="B482" s="155"/>
      <c r="E482" s="156"/>
      <c r="H482" s="130"/>
      <c r="I482" s="130"/>
      <c r="J482" s="157"/>
      <c r="K482" s="158"/>
      <c r="L482" s="130"/>
      <c r="M482" s="130"/>
      <c r="O482" s="128"/>
    </row>
    <row r="483" spans="1:15" ht="12.75" x14ac:dyDescent="0.2">
      <c r="A483" s="126"/>
      <c r="B483" s="155"/>
      <c r="E483" s="156"/>
      <c r="H483" s="130"/>
      <c r="I483" s="130"/>
      <c r="J483" s="157"/>
      <c r="K483" s="158"/>
      <c r="L483" s="130"/>
      <c r="M483" s="130"/>
      <c r="O483" s="128"/>
    </row>
    <row r="484" spans="1:15" ht="12.75" x14ac:dyDescent="0.2">
      <c r="A484" s="126"/>
      <c r="B484" s="155"/>
      <c r="E484" s="156"/>
      <c r="H484" s="130"/>
      <c r="I484" s="130"/>
      <c r="J484" s="157"/>
      <c r="K484" s="158"/>
      <c r="L484" s="130"/>
      <c r="M484" s="130"/>
      <c r="O484" s="128"/>
    </row>
    <row r="485" spans="1:15" ht="12.75" x14ac:dyDescent="0.2">
      <c r="A485" s="126"/>
      <c r="B485" s="155"/>
      <c r="E485" s="156"/>
      <c r="H485" s="130"/>
      <c r="I485" s="130"/>
      <c r="J485" s="157"/>
      <c r="K485" s="158"/>
      <c r="L485" s="130"/>
      <c r="M485" s="130"/>
      <c r="O485" s="128"/>
    </row>
    <row r="486" spans="1:15" ht="12.75" x14ac:dyDescent="0.2">
      <c r="A486" s="126"/>
      <c r="B486" s="155"/>
      <c r="E486" s="156"/>
      <c r="H486" s="130"/>
      <c r="I486" s="130"/>
      <c r="J486" s="157"/>
      <c r="K486" s="158"/>
      <c r="L486" s="130"/>
      <c r="M486" s="130"/>
      <c r="O486" s="128"/>
    </row>
    <row r="487" spans="1:15" ht="12.75" x14ac:dyDescent="0.2">
      <c r="A487" s="126"/>
      <c r="B487" s="155"/>
      <c r="E487" s="156"/>
      <c r="H487" s="130"/>
      <c r="I487" s="130"/>
      <c r="J487" s="157"/>
      <c r="K487" s="158"/>
      <c r="L487" s="130"/>
      <c r="M487" s="130"/>
      <c r="O487" s="128"/>
    </row>
    <row r="488" spans="1:15" ht="12.75" x14ac:dyDescent="0.2">
      <c r="A488" s="126"/>
      <c r="B488" s="155"/>
      <c r="E488" s="156"/>
      <c r="H488" s="130"/>
      <c r="I488" s="130"/>
      <c r="J488" s="157"/>
      <c r="K488" s="158"/>
      <c r="L488" s="130"/>
      <c r="M488" s="130"/>
      <c r="O488" s="128"/>
    </row>
    <row r="489" spans="1:15" ht="12.75" x14ac:dyDescent="0.2">
      <c r="A489" s="126"/>
      <c r="B489" s="155"/>
      <c r="E489" s="156"/>
      <c r="H489" s="130"/>
      <c r="I489" s="130"/>
      <c r="J489" s="157"/>
      <c r="K489" s="158"/>
      <c r="L489" s="130"/>
      <c r="M489" s="130"/>
      <c r="O489" s="128"/>
    </row>
    <row r="490" spans="1:15" ht="12.75" x14ac:dyDescent="0.2">
      <c r="A490" s="126"/>
      <c r="B490" s="155"/>
      <c r="E490" s="156"/>
      <c r="H490" s="130"/>
      <c r="I490" s="130"/>
      <c r="J490" s="157"/>
      <c r="K490" s="158"/>
      <c r="L490" s="130"/>
      <c r="M490" s="130"/>
      <c r="O490" s="128"/>
    </row>
    <row r="491" spans="1:15" ht="12.75" x14ac:dyDescent="0.2">
      <c r="A491" s="126"/>
      <c r="B491" s="155"/>
      <c r="E491" s="156"/>
      <c r="H491" s="130"/>
      <c r="I491" s="130"/>
      <c r="J491" s="157"/>
      <c r="K491" s="158"/>
      <c r="L491" s="130"/>
      <c r="M491" s="130"/>
      <c r="O491" s="128"/>
    </row>
    <row r="492" spans="1:15" ht="12.75" x14ac:dyDescent="0.2">
      <c r="A492" s="126"/>
      <c r="B492" s="155"/>
      <c r="E492" s="156"/>
      <c r="H492" s="130"/>
      <c r="I492" s="130"/>
      <c r="J492" s="157"/>
      <c r="K492" s="158"/>
      <c r="L492" s="130"/>
      <c r="M492" s="130"/>
      <c r="O492" s="128"/>
    </row>
    <row r="493" spans="1:15" ht="12.75" x14ac:dyDescent="0.2">
      <c r="A493" s="126"/>
      <c r="B493" s="155"/>
      <c r="E493" s="156"/>
      <c r="H493" s="130"/>
      <c r="I493" s="130"/>
      <c r="J493" s="157"/>
      <c r="K493" s="158"/>
      <c r="L493" s="130"/>
      <c r="M493" s="130"/>
      <c r="O493" s="128"/>
    </row>
    <row r="494" spans="1:15" ht="12.75" x14ac:dyDescent="0.2">
      <c r="A494" s="126"/>
      <c r="B494" s="155"/>
      <c r="E494" s="156"/>
      <c r="H494" s="130"/>
      <c r="I494" s="130"/>
      <c r="J494" s="157"/>
      <c r="K494" s="158"/>
      <c r="L494" s="130"/>
      <c r="M494" s="130"/>
      <c r="O494" s="128"/>
    </row>
    <row r="495" spans="1:15" ht="12.75" x14ac:dyDescent="0.2">
      <c r="A495" s="126"/>
      <c r="B495" s="155"/>
      <c r="E495" s="156"/>
      <c r="H495" s="130"/>
      <c r="I495" s="130"/>
      <c r="J495" s="157"/>
      <c r="K495" s="158"/>
      <c r="L495" s="130"/>
      <c r="M495" s="130"/>
      <c r="O495" s="128"/>
    </row>
    <row r="496" spans="1:15" ht="12.75" x14ac:dyDescent="0.2">
      <c r="A496" s="126"/>
      <c r="B496" s="155"/>
      <c r="E496" s="156"/>
      <c r="H496" s="130"/>
      <c r="I496" s="130"/>
      <c r="J496" s="157"/>
      <c r="K496" s="158"/>
      <c r="L496" s="130"/>
      <c r="M496" s="130"/>
      <c r="O496" s="128"/>
    </row>
    <row r="497" spans="1:15" ht="12.75" x14ac:dyDescent="0.2">
      <c r="A497" s="126"/>
      <c r="B497" s="155"/>
      <c r="E497" s="156"/>
      <c r="H497" s="130"/>
      <c r="I497" s="130"/>
      <c r="J497" s="157"/>
      <c r="K497" s="158"/>
      <c r="L497" s="130"/>
      <c r="M497" s="130"/>
      <c r="O497" s="128"/>
    </row>
    <row r="498" spans="1:15" ht="12.75" x14ac:dyDescent="0.2">
      <c r="A498" s="126"/>
      <c r="B498" s="155"/>
      <c r="E498" s="156"/>
      <c r="H498" s="130"/>
      <c r="I498" s="130"/>
      <c r="J498" s="157"/>
      <c r="K498" s="158"/>
      <c r="L498" s="130"/>
      <c r="M498" s="130"/>
      <c r="O498" s="128"/>
    </row>
    <row r="499" spans="1:15" ht="12.75" x14ac:dyDescent="0.2">
      <c r="A499" s="126"/>
      <c r="B499" s="155"/>
      <c r="E499" s="156"/>
      <c r="H499" s="130"/>
      <c r="I499" s="130"/>
      <c r="J499" s="157"/>
      <c r="K499" s="158"/>
      <c r="L499" s="130"/>
      <c r="M499" s="130"/>
      <c r="O499" s="128"/>
    </row>
    <row r="500" spans="1:15" ht="12.75" x14ac:dyDescent="0.2">
      <c r="A500" s="126"/>
      <c r="B500" s="155"/>
      <c r="E500" s="156"/>
      <c r="H500" s="130"/>
      <c r="I500" s="130"/>
      <c r="J500" s="157"/>
      <c r="K500" s="158"/>
      <c r="L500" s="130"/>
      <c r="M500" s="130"/>
      <c r="O500" s="128"/>
    </row>
    <row r="501" spans="1:15" ht="12.75" x14ac:dyDescent="0.2">
      <c r="A501" s="126"/>
      <c r="B501" s="155"/>
      <c r="E501" s="156"/>
      <c r="H501" s="130"/>
      <c r="I501" s="130"/>
      <c r="J501" s="157"/>
      <c r="K501" s="158"/>
      <c r="L501" s="130"/>
      <c r="M501" s="130"/>
      <c r="O501" s="128"/>
    </row>
    <row r="502" spans="1:15" ht="12.75" x14ac:dyDescent="0.2">
      <c r="A502" s="126"/>
      <c r="B502" s="155"/>
      <c r="E502" s="156"/>
      <c r="H502" s="130"/>
      <c r="I502" s="130"/>
      <c r="J502" s="157"/>
      <c r="K502" s="158"/>
      <c r="L502" s="130"/>
      <c r="M502" s="130"/>
      <c r="O502" s="128"/>
    </row>
    <row r="503" spans="1:15" ht="12.75" x14ac:dyDescent="0.2">
      <c r="A503" s="126"/>
      <c r="B503" s="155"/>
      <c r="E503" s="156"/>
      <c r="H503" s="130"/>
      <c r="I503" s="130"/>
      <c r="J503" s="157"/>
      <c r="K503" s="158"/>
      <c r="L503" s="130"/>
      <c r="M503" s="130"/>
      <c r="O503" s="128"/>
    </row>
    <row r="504" spans="1:15" ht="12.75" x14ac:dyDescent="0.2">
      <c r="A504" s="126"/>
      <c r="B504" s="155"/>
      <c r="E504" s="156"/>
      <c r="H504" s="130"/>
      <c r="I504" s="130"/>
      <c r="J504" s="157"/>
      <c r="K504" s="158"/>
      <c r="L504" s="130"/>
      <c r="M504" s="130"/>
      <c r="O504" s="128"/>
    </row>
    <row r="505" spans="1:15" ht="12.75" x14ac:dyDescent="0.2">
      <c r="A505" s="126"/>
      <c r="B505" s="155"/>
      <c r="E505" s="156"/>
      <c r="H505" s="130"/>
      <c r="I505" s="130"/>
      <c r="J505" s="157"/>
      <c r="K505" s="158"/>
      <c r="L505" s="130"/>
      <c r="M505" s="130"/>
      <c r="O505" s="128"/>
    </row>
    <row r="506" spans="1:15" ht="12.75" x14ac:dyDescent="0.2">
      <c r="A506" s="126"/>
      <c r="B506" s="155"/>
      <c r="E506" s="156"/>
      <c r="H506" s="130"/>
      <c r="I506" s="130"/>
      <c r="J506" s="157"/>
      <c r="K506" s="158"/>
      <c r="L506" s="130"/>
      <c r="M506" s="130"/>
      <c r="O506" s="128"/>
    </row>
    <row r="507" spans="1:15" ht="12.75" x14ac:dyDescent="0.2">
      <c r="A507" s="126"/>
      <c r="B507" s="155"/>
      <c r="E507" s="156"/>
      <c r="H507" s="130"/>
      <c r="I507" s="130"/>
      <c r="J507" s="157"/>
      <c r="K507" s="158"/>
      <c r="L507" s="130"/>
      <c r="M507" s="130"/>
      <c r="O507" s="128"/>
    </row>
    <row r="508" spans="1:15" ht="12.75" x14ac:dyDescent="0.2">
      <c r="A508" s="126"/>
      <c r="B508" s="155"/>
      <c r="E508" s="156"/>
      <c r="H508" s="130"/>
      <c r="I508" s="130"/>
      <c r="J508" s="157"/>
      <c r="K508" s="158"/>
      <c r="L508" s="130"/>
      <c r="M508" s="130"/>
      <c r="O508" s="128"/>
    </row>
    <row r="509" spans="1:15" ht="12.75" x14ac:dyDescent="0.2">
      <c r="A509" s="126"/>
      <c r="B509" s="155"/>
      <c r="E509" s="156"/>
      <c r="H509" s="130"/>
      <c r="I509" s="130"/>
      <c r="J509" s="157"/>
      <c r="K509" s="158"/>
      <c r="L509" s="130"/>
      <c r="M509" s="130"/>
      <c r="O509" s="128"/>
    </row>
    <row r="510" spans="1:15" ht="12.75" x14ac:dyDescent="0.2">
      <c r="A510" s="126"/>
      <c r="B510" s="155"/>
      <c r="E510" s="156"/>
      <c r="H510" s="130"/>
      <c r="I510" s="130"/>
      <c r="J510" s="157"/>
      <c r="K510" s="158"/>
      <c r="L510" s="130"/>
      <c r="M510" s="130"/>
      <c r="O510" s="128"/>
    </row>
    <row r="511" spans="1:15" ht="12.75" x14ac:dyDescent="0.2">
      <c r="A511" s="126"/>
      <c r="B511" s="155"/>
      <c r="E511" s="156"/>
      <c r="H511" s="130"/>
      <c r="I511" s="130"/>
      <c r="J511" s="157"/>
      <c r="K511" s="158"/>
      <c r="L511" s="130"/>
      <c r="M511" s="130"/>
      <c r="O511" s="128"/>
    </row>
    <row r="512" spans="1:15" ht="12.75" x14ac:dyDescent="0.2">
      <c r="A512" s="126"/>
      <c r="B512" s="155"/>
      <c r="E512" s="156"/>
      <c r="H512" s="130"/>
      <c r="I512" s="130"/>
      <c r="J512" s="157"/>
      <c r="K512" s="158"/>
      <c r="L512" s="130"/>
      <c r="M512" s="130"/>
      <c r="O512" s="128"/>
    </row>
    <row r="513" spans="1:15" ht="12.75" x14ac:dyDescent="0.2">
      <c r="A513" s="126"/>
      <c r="B513" s="155"/>
      <c r="E513" s="156"/>
      <c r="H513" s="130"/>
      <c r="I513" s="130"/>
      <c r="J513" s="157"/>
      <c r="K513" s="158"/>
      <c r="L513" s="130"/>
      <c r="M513" s="130"/>
      <c r="O513" s="128"/>
    </row>
    <row r="514" spans="1:15" ht="12.75" x14ac:dyDescent="0.2">
      <c r="A514" s="126"/>
      <c r="B514" s="155"/>
      <c r="E514" s="156"/>
      <c r="H514" s="130"/>
      <c r="I514" s="130"/>
      <c r="J514" s="157"/>
      <c r="K514" s="158"/>
      <c r="L514" s="130"/>
      <c r="M514" s="130"/>
      <c r="O514" s="128"/>
    </row>
    <row r="515" spans="1:15" ht="12.75" x14ac:dyDescent="0.2">
      <c r="A515" s="126"/>
      <c r="B515" s="155"/>
      <c r="E515" s="156"/>
      <c r="H515" s="130"/>
      <c r="I515" s="130"/>
      <c r="J515" s="157"/>
      <c r="K515" s="158"/>
      <c r="L515" s="130"/>
      <c r="M515" s="130"/>
      <c r="O515" s="128"/>
    </row>
    <row r="516" spans="1:15" ht="12.75" x14ac:dyDescent="0.2">
      <c r="A516" s="126"/>
      <c r="B516" s="155"/>
      <c r="E516" s="156"/>
      <c r="H516" s="130"/>
      <c r="I516" s="130"/>
      <c r="J516" s="157"/>
      <c r="K516" s="158"/>
      <c r="L516" s="130"/>
      <c r="M516" s="130"/>
      <c r="O516" s="128"/>
    </row>
    <row r="517" spans="1:15" ht="12.75" x14ac:dyDescent="0.2">
      <c r="A517" s="126"/>
      <c r="B517" s="155"/>
      <c r="E517" s="156"/>
      <c r="H517" s="130"/>
      <c r="I517" s="130"/>
      <c r="J517" s="157"/>
      <c r="K517" s="158"/>
      <c r="L517" s="130"/>
      <c r="M517" s="130"/>
      <c r="O517" s="128"/>
    </row>
    <row r="518" spans="1:15" ht="12.75" x14ac:dyDescent="0.2">
      <c r="A518" s="126"/>
      <c r="B518" s="155"/>
      <c r="E518" s="156"/>
      <c r="H518" s="130"/>
      <c r="I518" s="130"/>
      <c r="J518" s="157"/>
      <c r="K518" s="158"/>
      <c r="L518" s="130"/>
      <c r="M518" s="130"/>
      <c r="O518" s="128"/>
    </row>
    <row r="519" spans="1:15" ht="12.75" x14ac:dyDescent="0.2">
      <c r="A519" s="126"/>
      <c r="B519" s="155"/>
      <c r="E519" s="156"/>
      <c r="H519" s="130"/>
      <c r="I519" s="130"/>
      <c r="J519" s="157"/>
      <c r="K519" s="158"/>
      <c r="L519" s="130"/>
      <c r="M519" s="130"/>
      <c r="O519" s="128"/>
    </row>
    <row r="520" spans="1:15" ht="12.75" x14ac:dyDescent="0.2">
      <c r="A520" s="126"/>
      <c r="B520" s="155"/>
      <c r="E520" s="156"/>
      <c r="H520" s="130"/>
      <c r="I520" s="130"/>
      <c r="J520" s="157"/>
      <c r="K520" s="158"/>
      <c r="L520" s="130"/>
      <c r="M520" s="130"/>
      <c r="O520" s="128"/>
    </row>
    <row r="521" spans="1:15" ht="12.75" x14ac:dyDescent="0.2">
      <c r="A521" s="126"/>
      <c r="B521" s="155"/>
      <c r="E521" s="156"/>
      <c r="H521" s="130"/>
      <c r="I521" s="130"/>
      <c r="J521" s="157"/>
      <c r="K521" s="158"/>
      <c r="L521" s="130"/>
      <c r="M521" s="130"/>
      <c r="O521" s="128"/>
    </row>
    <row r="522" spans="1:15" ht="12.75" x14ac:dyDescent="0.2">
      <c r="A522" s="126"/>
      <c r="B522" s="155"/>
      <c r="E522" s="156"/>
      <c r="H522" s="130"/>
      <c r="I522" s="130"/>
      <c r="J522" s="157"/>
      <c r="K522" s="158"/>
      <c r="L522" s="130"/>
      <c r="M522" s="130"/>
      <c r="O522" s="128"/>
    </row>
    <row r="523" spans="1:15" ht="12.75" x14ac:dyDescent="0.2">
      <c r="A523" s="126"/>
      <c r="B523" s="155"/>
      <c r="E523" s="156"/>
      <c r="H523" s="130"/>
      <c r="I523" s="130"/>
      <c r="J523" s="157"/>
      <c r="K523" s="158"/>
      <c r="L523" s="130"/>
      <c r="M523" s="130"/>
      <c r="O523" s="128"/>
    </row>
    <row r="524" spans="1:15" ht="12.75" x14ac:dyDescent="0.2">
      <c r="A524" s="126"/>
      <c r="B524" s="155"/>
      <c r="E524" s="156"/>
      <c r="H524" s="130"/>
      <c r="I524" s="130"/>
      <c r="J524" s="157"/>
      <c r="K524" s="158"/>
      <c r="L524" s="130"/>
      <c r="M524" s="130"/>
      <c r="O524" s="128"/>
    </row>
    <row r="525" spans="1:15" ht="12.75" x14ac:dyDescent="0.2">
      <c r="A525" s="126"/>
      <c r="B525" s="155"/>
      <c r="E525" s="156"/>
      <c r="H525" s="130"/>
      <c r="I525" s="130"/>
      <c r="J525" s="157"/>
      <c r="K525" s="158"/>
      <c r="L525" s="130"/>
      <c r="M525" s="130"/>
      <c r="O525" s="128"/>
    </row>
    <row r="526" spans="1:15" ht="12.75" x14ac:dyDescent="0.2">
      <c r="A526" s="126"/>
      <c r="B526" s="155"/>
      <c r="E526" s="156"/>
      <c r="H526" s="130"/>
      <c r="I526" s="130"/>
      <c r="J526" s="157"/>
      <c r="K526" s="158"/>
      <c r="L526" s="130"/>
      <c r="M526" s="130"/>
      <c r="O526" s="128"/>
    </row>
    <row r="527" spans="1:15" ht="12.75" x14ac:dyDescent="0.2">
      <c r="A527" s="126"/>
      <c r="B527" s="155"/>
      <c r="E527" s="156"/>
      <c r="H527" s="130"/>
      <c r="I527" s="130"/>
      <c r="J527" s="157"/>
      <c r="K527" s="158"/>
      <c r="L527" s="130"/>
      <c r="M527" s="130"/>
      <c r="O527" s="128"/>
    </row>
    <row r="528" spans="1:15" ht="12.75" x14ac:dyDescent="0.2">
      <c r="A528" s="126"/>
      <c r="B528" s="155"/>
      <c r="E528" s="156"/>
      <c r="H528" s="130"/>
      <c r="I528" s="130"/>
      <c r="J528" s="157"/>
      <c r="K528" s="158"/>
      <c r="L528" s="130"/>
      <c r="M528" s="130"/>
      <c r="O528" s="128"/>
    </row>
    <row r="529" spans="1:15" ht="12.75" x14ac:dyDescent="0.2">
      <c r="A529" s="126"/>
      <c r="B529" s="155"/>
      <c r="E529" s="156"/>
      <c r="H529" s="130"/>
      <c r="I529" s="130"/>
      <c r="J529" s="157"/>
      <c r="K529" s="158"/>
      <c r="L529" s="130"/>
      <c r="M529" s="130"/>
      <c r="O529" s="128"/>
    </row>
    <row r="530" spans="1:15" ht="12.75" x14ac:dyDescent="0.2">
      <c r="A530" s="126"/>
      <c r="B530" s="155"/>
      <c r="E530" s="156"/>
      <c r="H530" s="130"/>
      <c r="I530" s="130"/>
      <c r="J530" s="157"/>
      <c r="K530" s="158"/>
      <c r="L530" s="130"/>
      <c r="M530" s="130"/>
      <c r="O530" s="128"/>
    </row>
    <row r="531" spans="1:15" ht="12.75" x14ac:dyDescent="0.2">
      <c r="A531" s="126"/>
      <c r="B531" s="155"/>
      <c r="E531" s="156"/>
      <c r="H531" s="130"/>
      <c r="I531" s="130"/>
      <c r="J531" s="157"/>
      <c r="K531" s="158"/>
      <c r="L531" s="130"/>
      <c r="M531" s="130"/>
      <c r="O531" s="128"/>
    </row>
    <row r="532" spans="1:15" ht="12.75" x14ac:dyDescent="0.2">
      <c r="A532" s="126"/>
      <c r="B532" s="155"/>
      <c r="E532" s="156"/>
      <c r="H532" s="130"/>
      <c r="I532" s="130"/>
      <c r="J532" s="157"/>
      <c r="K532" s="158"/>
      <c r="L532" s="130"/>
      <c r="M532" s="130"/>
      <c r="O532" s="128"/>
    </row>
    <row r="533" spans="1:15" ht="12.75" x14ac:dyDescent="0.2">
      <c r="A533" s="126"/>
      <c r="B533" s="155"/>
      <c r="E533" s="156"/>
      <c r="H533" s="130"/>
      <c r="I533" s="130"/>
      <c r="J533" s="157"/>
      <c r="K533" s="158"/>
      <c r="L533" s="130"/>
      <c r="M533" s="130"/>
      <c r="O533" s="128"/>
    </row>
    <row r="534" spans="1:15" ht="12.75" x14ac:dyDescent="0.2">
      <c r="A534" s="126"/>
      <c r="B534" s="155"/>
      <c r="E534" s="156"/>
      <c r="H534" s="130"/>
      <c r="I534" s="130"/>
      <c r="J534" s="157"/>
      <c r="K534" s="158"/>
      <c r="L534" s="130"/>
      <c r="M534" s="130"/>
      <c r="O534" s="128"/>
    </row>
    <row r="535" spans="1:15" ht="12.75" x14ac:dyDescent="0.2">
      <c r="A535" s="126"/>
      <c r="B535" s="155"/>
      <c r="E535" s="156"/>
      <c r="H535" s="130"/>
      <c r="I535" s="130"/>
      <c r="J535" s="157"/>
      <c r="K535" s="158"/>
      <c r="L535" s="130"/>
      <c r="M535" s="130"/>
      <c r="O535" s="128"/>
    </row>
    <row r="536" spans="1:15" ht="12.75" x14ac:dyDescent="0.2">
      <c r="A536" s="126"/>
      <c r="B536" s="155"/>
      <c r="E536" s="156"/>
      <c r="H536" s="130"/>
      <c r="I536" s="130"/>
      <c r="J536" s="157"/>
      <c r="K536" s="158"/>
      <c r="L536" s="130"/>
      <c r="M536" s="130"/>
      <c r="O536" s="128"/>
    </row>
    <row r="537" spans="1:15" ht="12.75" x14ac:dyDescent="0.2">
      <c r="A537" s="126"/>
      <c r="B537" s="155"/>
      <c r="E537" s="156"/>
      <c r="H537" s="130"/>
      <c r="I537" s="130"/>
      <c r="J537" s="157"/>
      <c r="K537" s="158"/>
      <c r="L537" s="130"/>
      <c r="M537" s="130"/>
      <c r="O537" s="128"/>
    </row>
    <row r="538" spans="1:15" ht="12.75" x14ac:dyDescent="0.2">
      <c r="A538" s="126"/>
      <c r="B538" s="155"/>
      <c r="E538" s="156"/>
      <c r="H538" s="130"/>
      <c r="I538" s="130"/>
      <c r="J538" s="157"/>
      <c r="K538" s="158"/>
      <c r="L538" s="130"/>
      <c r="M538" s="130"/>
      <c r="O538" s="128"/>
    </row>
    <row r="539" spans="1:15" ht="12.75" x14ac:dyDescent="0.2">
      <c r="A539" s="126"/>
      <c r="B539" s="155"/>
      <c r="E539" s="156"/>
      <c r="H539" s="130"/>
      <c r="I539" s="130"/>
      <c r="J539" s="157"/>
      <c r="K539" s="158"/>
      <c r="L539" s="130"/>
      <c r="M539" s="130"/>
      <c r="O539" s="128"/>
    </row>
    <row r="540" spans="1:15" ht="12.75" x14ac:dyDescent="0.2">
      <c r="A540" s="126"/>
      <c r="B540" s="155"/>
      <c r="E540" s="156"/>
      <c r="H540" s="130"/>
      <c r="I540" s="130"/>
      <c r="J540" s="157"/>
      <c r="K540" s="158"/>
      <c r="L540" s="130"/>
      <c r="M540" s="130"/>
      <c r="O540" s="128"/>
    </row>
    <row r="541" spans="1:15" ht="12.75" x14ac:dyDescent="0.2">
      <c r="A541" s="126"/>
      <c r="B541" s="155"/>
      <c r="E541" s="156"/>
      <c r="H541" s="130"/>
      <c r="I541" s="130"/>
      <c r="J541" s="157"/>
      <c r="K541" s="158"/>
      <c r="L541" s="130"/>
      <c r="M541" s="130"/>
      <c r="O541" s="128"/>
    </row>
    <row r="542" spans="1:15" ht="12.75" x14ac:dyDescent="0.2">
      <c r="A542" s="126"/>
      <c r="B542" s="155"/>
      <c r="E542" s="156"/>
      <c r="H542" s="130"/>
      <c r="I542" s="130"/>
      <c r="J542" s="157"/>
      <c r="K542" s="158"/>
      <c r="L542" s="130"/>
      <c r="M542" s="130"/>
      <c r="O542" s="128"/>
    </row>
    <row r="543" spans="1:15" ht="12.75" x14ac:dyDescent="0.2">
      <c r="A543" s="126"/>
      <c r="B543" s="155"/>
      <c r="E543" s="156"/>
      <c r="H543" s="130"/>
      <c r="I543" s="130"/>
      <c r="J543" s="157"/>
      <c r="K543" s="158"/>
      <c r="L543" s="130"/>
      <c r="M543" s="130"/>
      <c r="O543" s="128"/>
    </row>
    <row r="544" spans="1:15" ht="12.75" x14ac:dyDescent="0.2">
      <c r="A544" s="126"/>
      <c r="B544" s="155"/>
      <c r="E544" s="156"/>
      <c r="H544" s="130"/>
      <c r="I544" s="130"/>
      <c r="J544" s="157"/>
      <c r="K544" s="158"/>
      <c r="L544" s="130"/>
      <c r="M544" s="130"/>
      <c r="O544" s="128"/>
    </row>
    <row r="545" spans="1:15" ht="12.75" x14ac:dyDescent="0.2">
      <c r="A545" s="126"/>
      <c r="B545" s="155"/>
      <c r="E545" s="156"/>
      <c r="H545" s="130"/>
      <c r="I545" s="130"/>
      <c r="J545" s="157"/>
      <c r="K545" s="158"/>
      <c r="L545" s="130"/>
      <c r="M545" s="130"/>
      <c r="O545" s="128"/>
    </row>
    <row r="546" spans="1:15" ht="12.75" x14ac:dyDescent="0.2">
      <c r="A546" s="126"/>
      <c r="B546" s="155"/>
      <c r="E546" s="156"/>
      <c r="H546" s="130"/>
      <c r="I546" s="130"/>
      <c r="J546" s="157"/>
      <c r="K546" s="158"/>
      <c r="L546" s="130"/>
      <c r="M546" s="130"/>
      <c r="O546" s="128"/>
    </row>
    <row r="547" spans="1:15" ht="12.75" x14ac:dyDescent="0.2">
      <c r="A547" s="126"/>
      <c r="B547" s="155"/>
      <c r="E547" s="156"/>
      <c r="H547" s="130"/>
      <c r="I547" s="130"/>
      <c r="J547" s="157"/>
      <c r="K547" s="158"/>
      <c r="L547" s="130"/>
      <c r="M547" s="130"/>
      <c r="O547" s="128"/>
    </row>
    <row r="548" spans="1:15" ht="12.75" x14ac:dyDescent="0.2">
      <c r="A548" s="126"/>
      <c r="B548" s="155"/>
      <c r="E548" s="156"/>
      <c r="H548" s="130"/>
      <c r="I548" s="130"/>
      <c r="J548" s="157"/>
      <c r="K548" s="158"/>
      <c r="L548" s="130"/>
      <c r="M548" s="130"/>
      <c r="O548" s="128"/>
    </row>
    <row r="549" spans="1:15" ht="12.75" x14ac:dyDescent="0.2">
      <c r="A549" s="126"/>
      <c r="B549" s="155"/>
      <c r="E549" s="156"/>
      <c r="H549" s="130"/>
      <c r="I549" s="130"/>
      <c r="J549" s="157"/>
      <c r="K549" s="158"/>
      <c r="L549" s="130"/>
      <c r="M549" s="130"/>
      <c r="O549" s="128"/>
    </row>
    <row r="550" spans="1:15" ht="12.75" x14ac:dyDescent="0.2">
      <c r="A550" s="126"/>
      <c r="B550" s="155"/>
      <c r="E550" s="156"/>
      <c r="H550" s="130"/>
      <c r="I550" s="130"/>
      <c r="J550" s="157"/>
      <c r="K550" s="158"/>
      <c r="L550" s="130"/>
      <c r="M550" s="130"/>
      <c r="O550" s="128"/>
    </row>
    <row r="551" spans="1:15" ht="12.75" x14ac:dyDescent="0.2">
      <c r="A551" s="126"/>
      <c r="B551" s="155"/>
      <c r="E551" s="156"/>
      <c r="H551" s="130"/>
      <c r="I551" s="130"/>
      <c r="J551" s="157"/>
      <c r="K551" s="158"/>
      <c r="L551" s="130"/>
      <c r="M551" s="130"/>
      <c r="O551" s="128"/>
    </row>
    <row r="552" spans="1:15" ht="12.75" x14ac:dyDescent="0.2">
      <c r="A552" s="126"/>
      <c r="B552" s="155"/>
      <c r="E552" s="156"/>
      <c r="H552" s="130"/>
      <c r="I552" s="130"/>
      <c r="J552" s="157"/>
      <c r="K552" s="158"/>
      <c r="L552" s="130"/>
      <c r="M552" s="130"/>
      <c r="O552" s="128"/>
    </row>
    <row r="553" spans="1:15" ht="12.75" x14ac:dyDescent="0.2">
      <c r="A553" s="126"/>
      <c r="B553" s="155"/>
      <c r="E553" s="156"/>
      <c r="H553" s="130"/>
      <c r="I553" s="130"/>
      <c r="J553" s="157"/>
      <c r="K553" s="158"/>
      <c r="L553" s="130"/>
      <c r="M553" s="130"/>
      <c r="O553" s="128"/>
    </row>
    <row r="554" spans="1:15" ht="12.75" x14ac:dyDescent="0.2">
      <c r="A554" s="126"/>
      <c r="B554" s="155"/>
      <c r="E554" s="156"/>
      <c r="H554" s="130"/>
      <c r="I554" s="130"/>
      <c r="J554" s="157"/>
      <c r="K554" s="158"/>
      <c r="L554" s="130"/>
      <c r="M554" s="130"/>
      <c r="O554" s="128"/>
    </row>
    <row r="555" spans="1:15" ht="12.75" x14ac:dyDescent="0.2">
      <c r="A555" s="126"/>
      <c r="B555" s="155"/>
      <c r="E555" s="156"/>
      <c r="H555" s="130"/>
      <c r="I555" s="130"/>
      <c r="J555" s="157"/>
      <c r="K555" s="158"/>
      <c r="L555" s="130"/>
      <c r="M555" s="130"/>
      <c r="O555" s="128"/>
    </row>
    <row r="556" spans="1:15" ht="12.75" x14ac:dyDescent="0.2">
      <c r="A556" s="126"/>
      <c r="B556" s="155"/>
      <c r="E556" s="156"/>
      <c r="H556" s="130"/>
      <c r="I556" s="130"/>
      <c r="J556" s="157"/>
      <c r="K556" s="158"/>
      <c r="L556" s="130"/>
      <c r="M556" s="130"/>
      <c r="O556" s="128"/>
    </row>
    <row r="557" spans="1:15" ht="12.75" x14ac:dyDescent="0.2">
      <c r="A557" s="126"/>
      <c r="B557" s="155"/>
      <c r="E557" s="156"/>
      <c r="H557" s="130"/>
      <c r="I557" s="130"/>
      <c r="J557" s="157"/>
      <c r="K557" s="158"/>
      <c r="L557" s="130"/>
      <c r="M557" s="130"/>
      <c r="O557" s="128"/>
    </row>
    <row r="558" spans="1:15" ht="12.75" x14ac:dyDescent="0.2">
      <c r="A558" s="126"/>
      <c r="B558" s="155"/>
      <c r="E558" s="156"/>
      <c r="H558" s="130"/>
      <c r="I558" s="130"/>
      <c r="J558" s="157"/>
      <c r="K558" s="158"/>
      <c r="L558" s="130"/>
      <c r="M558" s="130"/>
      <c r="O558" s="128"/>
    </row>
    <row r="559" spans="1:15" ht="12.75" x14ac:dyDescent="0.2">
      <c r="A559" s="126"/>
      <c r="B559" s="155"/>
      <c r="E559" s="156"/>
      <c r="H559" s="130"/>
      <c r="I559" s="130"/>
      <c r="J559" s="157"/>
      <c r="K559" s="158"/>
      <c r="L559" s="130"/>
      <c r="M559" s="130"/>
      <c r="O559" s="128"/>
    </row>
    <row r="560" spans="1:15" ht="12.75" x14ac:dyDescent="0.2">
      <c r="A560" s="126"/>
      <c r="B560" s="155"/>
      <c r="E560" s="156"/>
      <c r="H560" s="130"/>
      <c r="I560" s="130"/>
      <c r="J560" s="157"/>
      <c r="K560" s="158"/>
      <c r="L560" s="130"/>
      <c r="M560" s="130"/>
      <c r="O560" s="128"/>
    </row>
    <row r="561" spans="1:15" ht="12.75" x14ac:dyDescent="0.2">
      <c r="A561" s="126"/>
      <c r="B561" s="155"/>
      <c r="E561" s="156"/>
      <c r="H561" s="130"/>
      <c r="I561" s="130"/>
      <c r="J561" s="157"/>
      <c r="K561" s="158"/>
      <c r="L561" s="130"/>
      <c r="M561" s="130"/>
      <c r="O561" s="128"/>
    </row>
    <row r="562" spans="1:15" ht="12.75" x14ac:dyDescent="0.2">
      <c r="A562" s="126"/>
      <c r="B562" s="155"/>
      <c r="E562" s="156"/>
      <c r="H562" s="130"/>
      <c r="I562" s="130"/>
      <c r="J562" s="157"/>
      <c r="K562" s="158"/>
      <c r="L562" s="130"/>
      <c r="M562" s="130"/>
      <c r="O562" s="128"/>
    </row>
    <row r="563" spans="1:15" ht="12.75" x14ac:dyDescent="0.2">
      <c r="A563" s="126"/>
      <c r="B563" s="155"/>
      <c r="E563" s="156"/>
      <c r="H563" s="130"/>
      <c r="I563" s="130"/>
      <c r="J563" s="157"/>
      <c r="K563" s="158"/>
      <c r="L563" s="130"/>
      <c r="M563" s="130"/>
      <c r="O563" s="128"/>
    </row>
    <row r="564" spans="1:15" ht="12.75" x14ac:dyDescent="0.2">
      <c r="A564" s="126"/>
      <c r="B564" s="155"/>
      <c r="E564" s="156"/>
      <c r="H564" s="130"/>
      <c r="I564" s="130"/>
      <c r="J564" s="157"/>
      <c r="K564" s="158"/>
      <c r="L564" s="130"/>
      <c r="M564" s="130"/>
      <c r="O564" s="128"/>
    </row>
    <row r="565" spans="1:15" ht="12.75" x14ac:dyDescent="0.2">
      <c r="A565" s="126"/>
      <c r="B565" s="155"/>
      <c r="E565" s="156"/>
      <c r="H565" s="130"/>
      <c r="I565" s="130"/>
      <c r="J565" s="157"/>
      <c r="K565" s="158"/>
      <c r="L565" s="130"/>
      <c r="M565" s="130"/>
      <c r="O565" s="128"/>
    </row>
    <row r="566" spans="1:15" ht="12.75" x14ac:dyDescent="0.2">
      <c r="A566" s="126"/>
      <c r="B566" s="155"/>
      <c r="E566" s="156"/>
      <c r="H566" s="130"/>
      <c r="I566" s="130"/>
      <c r="J566" s="157"/>
      <c r="K566" s="158"/>
      <c r="L566" s="130"/>
      <c r="M566" s="130"/>
      <c r="O566" s="128"/>
    </row>
    <row r="567" spans="1:15" ht="12.75" x14ac:dyDescent="0.2">
      <c r="A567" s="126"/>
      <c r="B567" s="155"/>
      <c r="E567" s="156"/>
      <c r="H567" s="130"/>
      <c r="I567" s="130"/>
      <c r="J567" s="157"/>
      <c r="K567" s="158"/>
      <c r="L567" s="130"/>
      <c r="M567" s="130"/>
      <c r="O567" s="128"/>
    </row>
    <row r="568" spans="1:15" ht="12.75" x14ac:dyDescent="0.2">
      <c r="A568" s="126"/>
      <c r="B568" s="155"/>
      <c r="E568" s="156"/>
      <c r="H568" s="130"/>
      <c r="I568" s="130"/>
      <c r="J568" s="157"/>
      <c r="K568" s="158"/>
      <c r="L568" s="130"/>
      <c r="M568" s="130"/>
      <c r="O568" s="128"/>
    </row>
    <row r="569" spans="1:15" ht="12.75" x14ac:dyDescent="0.2">
      <c r="A569" s="126"/>
      <c r="B569" s="155"/>
      <c r="E569" s="156"/>
      <c r="H569" s="130"/>
      <c r="I569" s="130"/>
      <c r="J569" s="157"/>
      <c r="K569" s="158"/>
      <c r="L569" s="130"/>
      <c r="M569" s="130"/>
      <c r="O569" s="128"/>
    </row>
    <row r="570" spans="1:15" ht="12.75" x14ac:dyDescent="0.2">
      <c r="A570" s="126"/>
      <c r="B570" s="155"/>
      <c r="E570" s="156"/>
      <c r="H570" s="130"/>
      <c r="I570" s="130"/>
      <c r="J570" s="157"/>
      <c r="K570" s="158"/>
      <c r="L570" s="130"/>
      <c r="M570" s="130"/>
      <c r="O570" s="128"/>
    </row>
    <row r="571" spans="1:15" ht="12.75" x14ac:dyDescent="0.2">
      <c r="A571" s="126"/>
      <c r="B571" s="155"/>
      <c r="E571" s="156"/>
      <c r="H571" s="130"/>
      <c r="I571" s="130"/>
      <c r="J571" s="157"/>
      <c r="K571" s="158"/>
      <c r="L571" s="130"/>
      <c r="M571" s="130"/>
      <c r="O571" s="128"/>
    </row>
    <row r="572" spans="1:15" ht="12.75" x14ac:dyDescent="0.2">
      <c r="A572" s="126"/>
      <c r="B572" s="155"/>
      <c r="E572" s="156"/>
      <c r="H572" s="130"/>
      <c r="I572" s="130"/>
      <c r="J572" s="157"/>
      <c r="K572" s="158"/>
      <c r="L572" s="130"/>
      <c r="M572" s="130"/>
      <c r="O572" s="128"/>
    </row>
    <row r="573" spans="1:15" ht="12.75" x14ac:dyDescent="0.2">
      <c r="A573" s="126"/>
      <c r="B573" s="155"/>
      <c r="E573" s="156"/>
      <c r="H573" s="130"/>
      <c r="I573" s="130"/>
      <c r="J573" s="157"/>
      <c r="K573" s="158"/>
      <c r="L573" s="130"/>
      <c r="M573" s="130"/>
      <c r="O573" s="128"/>
    </row>
    <row r="574" spans="1:15" ht="12.75" x14ac:dyDescent="0.2">
      <c r="A574" s="126"/>
      <c r="B574" s="155"/>
      <c r="E574" s="156"/>
      <c r="H574" s="130"/>
      <c r="I574" s="130"/>
      <c r="J574" s="157"/>
      <c r="K574" s="158"/>
      <c r="L574" s="130"/>
      <c r="M574" s="130"/>
      <c r="O574" s="128"/>
    </row>
    <row r="575" spans="1:15" ht="12.75" x14ac:dyDescent="0.2">
      <c r="A575" s="126"/>
      <c r="B575" s="155"/>
      <c r="E575" s="156"/>
      <c r="H575" s="130"/>
      <c r="I575" s="130"/>
      <c r="J575" s="157"/>
      <c r="K575" s="158"/>
      <c r="L575" s="130"/>
      <c r="M575" s="130"/>
      <c r="O575" s="128"/>
    </row>
    <row r="576" spans="1:15" ht="12.75" x14ac:dyDescent="0.2">
      <c r="A576" s="126"/>
      <c r="B576" s="155"/>
      <c r="E576" s="156"/>
      <c r="H576" s="130"/>
      <c r="I576" s="130"/>
      <c r="J576" s="157"/>
      <c r="K576" s="158"/>
      <c r="L576" s="130"/>
      <c r="M576" s="130"/>
      <c r="O576" s="128"/>
    </row>
    <row r="577" spans="1:15" ht="12.75" x14ac:dyDescent="0.2">
      <c r="A577" s="126"/>
      <c r="B577" s="155"/>
      <c r="E577" s="156"/>
      <c r="H577" s="130"/>
      <c r="I577" s="130"/>
      <c r="J577" s="157"/>
      <c r="K577" s="158"/>
      <c r="L577" s="130"/>
      <c r="M577" s="130"/>
      <c r="O577" s="128"/>
    </row>
    <row r="578" spans="1:15" ht="12.75" x14ac:dyDescent="0.2">
      <c r="A578" s="126"/>
      <c r="B578" s="155"/>
      <c r="E578" s="156"/>
      <c r="H578" s="130"/>
      <c r="I578" s="130"/>
      <c r="J578" s="157"/>
      <c r="K578" s="158"/>
      <c r="L578" s="130"/>
      <c r="M578" s="130"/>
      <c r="O578" s="128"/>
    </row>
    <row r="579" spans="1:15" ht="12.75" x14ac:dyDescent="0.2">
      <c r="A579" s="126"/>
      <c r="B579" s="155"/>
      <c r="E579" s="156"/>
      <c r="H579" s="130"/>
      <c r="I579" s="130"/>
      <c r="J579" s="157"/>
      <c r="K579" s="158"/>
      <c r="L579" s="130"/>
      <c r="M579" s="130"/>
      <c r="O579" s="128"/>
    </row>
    <row r="580" spans="1:15" ht="12.75" x14ac:dyDescent="0.2">
      <c r="A580" s="126"/>
      <c r="B580" s="155"/>
      <c r="E580" s="156"/>
      <c r="H580" s="130"/>
      <c r="I580" s="130"/>
      <c r="J580" s="157"/>
      <c r="K580" s="158"/>
      <c r="L580" s="130"/>
      <c r="M580" s="130"/>
      <c r="O580" s="128"/>
    </row>
    <row r="581" spans="1:15" ht="12.75" x14ac:dyDescent="0.2">
      <c r="A581" s="126"/>
      <c r="B581" s="155"/>
      <c r="E581" s="156"/>
      <c r="H581" s="130"/>
      <c r="I581" s="130"/>
      <c r="J581" s="157"/>
      <c r="K581" s="158"/>
      <c r="L581" s="130"/>
      <c r="M581" s="130"/>
      <c r="O581" s="128"/>
    </row>
    <row r="582" spans="1:15" ht="12.75" x14ac:dyDescent="0.2">
      <c r="A582" s="126"/>
      <c r="B582" s="155"/>
      <c r="E582" s="156"/>
      <c r="H582" s="130"/>
      <c r="I582" s="130"/>
      <c r="J582" s="157"/>
      <c r="K582" s="158"/>
      <c r="L582" s="130"/>
      <c r="M582" s="130"/>
      <c r="O582" s="128"/>
    </row>
    <row r="583" spans="1:15" ht="12.75" x14ac:dyDescent="0.2">
      <c r="A583" s="126"/>
      <c r="B583" s="155"/>
      <c r="E583" s="156"/>
      <c r="H583" s="130"/>
      <c r="I583" s="130"/>
      <c r="J583" s="157"/>
      <c r="K583" s="158"/>
      <c r="L583" s="130"/>
      <c r="M583" s="130"/>
      <c r="O583" s="128"/>
    </row>
    <row r="584" spans="1:15" ht="12.75" x14ac:dyDescent="0.2">
      <c r="A584" s="126"/>
      <c r="B584" s="155"/>
      <c r="E584" s="156"/>
      <c r="H584" s="130"/>
      <c r="I584" s="130"/>
      <c r="J584" s="157"/>
      <c r="K584" s="158"/>
      <c r="L584" s="130"/>
      <c r="M584" s="130"/>
      <c r="O584" s="128"/>
    </row>
    <row r="585" spans="1:15" ht="12.75" x14ac:dyDescent="0.2">
      <c r="A585" s="126"/>
      <c r="B585" s="155"/>
      <c r="E585" s="156"/>
      <c r="H585" s="130"/>
      <c r="I585" s="130"/>
      <c r="J585" s="157"/>
      <c r="K585" s="158"/>
      <c r="L585" s="130"/>
      <c r="M585" s="130"/>
      <c r="O585" s="128"/>
    </row>
    <row r="586" spans="1:15" ht="12.75" x14ac:dyDescent="0.2">
      <c r="A586" s="126"/>
      <c r="B586" s="155"/>
      <c r="E586" s="156"/>
      <c r="H586" s="130"/>
      <c r="I586" s="130"/>
      <c r="J586" s="157"/>
      <c r="K586" s="158"/>
      <c r="L586" s="130"/>
      <c r="M586" s="130"/>
      <c r="O586" s="128"/>
    </row>
    <row r="587" spans="1:15" ht="12.75" x14ac:dyDescent="0.2">
      <c r="A587" s="126"/>
      <c r="B587" s="155"/>
      <c r="E587" s="156"/>
      <c r="H587" s="130"/>
      <c r="I587" s="130"/>
      <c r="J587" s="157"/>
      <c r="K587" s="158"/>
      <c r="L587" s="130"/>
      <c r="M587" s="130"/>
      <c r="O587" s="128"/>
    </row>
    <row r="588" spans="1:15" ht="12.75" x14ac:dyDescent="0.2">
      <c r="A588" s="126"/>
      <c r="B588" s="155"/>
      <c r="E588" s="156"/>
      <c r="H588" s="130"/>
      <c r="I588" s="130"/>
      <c r="J588" s="157"/>
      <c r="K588" s="158"/>
      <c r="L588" s="130"/>
      <c r="M588" s="130"/>
      <c r="O588" s="128"/>
    </row>
    <row r="589" spans="1:15" ht="12.75" x14ac:dyDescent="0.2">
      <c r="A589" s="126"/>
      <c r="B589" s="155"/>
      <c r="E589" s="156"/>
      <c r="H589" s="130"/>
      <c r="I589" s="130"/>
      <c r="J589" s="157"/>
      <c r="K589" s="158"/>
      <c r="L589" s="130"/>
      <c r="M589" s="130"/>
      <c r="O589" s="128"/>
    </row>
    <row r="590" spans="1:15" ht="12.75" x14ac:dyDescent="0.2">
      <c r="A590" s="126"/>
      <c r="B590" s="155"/>
      <c r="E590" s="156"/>
      <c r="H590" s="130"/>
      <c r="I590" s="130"/>
      <c r="J590" s="157"/>
      <c r="K590" s="158"/>
      <c r="L590" s="130"/>
      <c r="M590" s="130"/>
      <c r="O590" s="128"/>
    </row>
    <row r="591" spans="1:15" ht="12.75" x14ac:dyDescent="0.2">
      <c r="A591" s="126"/>
      <c r="B591" s="155"/>
      <c r="E591" s="156"/>
      <c r="H591" s="130"/>
      <c r="I591" s="130"/>
      <c r="J591" s="157"/>
      <c r="K591" s="158"/>
      <c r="L591" s="130"/>
      <c r="M591" s="130"/>
      <c r="O591" s="128"/>
    </row>
    <row r="592" spans="1:15" ht="12.75" x14ac:dyDescent="0.2">
      <c r="A592" s="126"/>
      <c r="B592" s="155"/>
      <c r="E592" s="156"/>
      <c r="H592" s="130"/>
      <c r="I592" s="130"/>
      <c r="J592" s="157"/>
      <c r="K592" s="158"/>
      <c r="L592" s="130"/>
      <c r="M592" s="130"/>
      <c r="O592" s="128"/>
    </row>
    <row r="593" spans="1:15" ht="12.75" x14ac:dyDescent="0.2">
      <c r="A593" s="126"/>
      <c r="B593" s="155"/>
      <c r="E593" s="156"/>
      <c r="H593" s="130"/>
      <c r="I593" s="130"/>
      <c r="J593" s="157"/>
      <c r="K593" s="158"/>
      <c r="L593" s="130"/>
      <c r="M593" s="130"/>
      <c r="O593" s="128"/>
    </row>
    <row r="594" spans="1:15" ht="12.75" x14ac:dyDescent="0.2">
      <c r="A594" s="126"/>
      <c r="B594" s="155"/>
      <c r="E594" s="156"/>
      <c r="H594" s="130"/>
      <c r="I594" s="130"/>
      <c r="J594" s="157"/>
      <c r="K594" s="158"/>
      <c r="L594" s="130"/>
      <c r="M594" s="130"/>
      <c r="O594" s="128"/>
    </row>
    <row r="595" spans="1:15" ht="12.75" x14ac:dyDescent="0.2">
      <c r="A595" s="126"/>
      <c r="B595" s="155"/>
      <c r="E595" s="156"/>
      <c r="H595" s="130"/>
      <c r="I595" s="130"/>
      <c r="J595" s="157"/>
      <c r="K595" s="158"/>
      <c r="L595" s="130"/>
      <c r="M595" s="130"/>
      <c r="O595" s="128"/>
    </row>
    <row r="596" spans="1:15" ht="12.75" x14ac:dyDescent="0.2">
      <c r="A596" s="126"/>
      <c r="B596" s="155"/>
      <c r="E596" s="156"/>
      <c r="H596" s="130"/>
      <c r="I596" s="130"/>
      <c r="J596" s="157"/>
      <c r="K596" s="158"/>
      <c r="L596" s="130"/>
      <c r="M596" s="130"/>
      <c r="O596" s="128"/>
    </row>
    <row r="597" spans="1:15" ht="12.75" x14ac:dyDescent="0.2">
      <c r="A597" s="126"/>
      <c r="B597" s="155"/>
      <c r="E597" s="156"/>
      <c r="H597" s="130"/>
      <c r="I597" s="130"/>
      <c r="J597" s="157"/>
      <c r="K597" s="158"/>
      <c r="L597" s="130"/>
      <c r="M597" s="130"/>
      <c r="O597" s="128"/>
    </row>
    <row r="598" spans="1:15" ht="12.75" x14ac:dyDescent="0.2">
      <c r="A598" s="126"/>
      <c r="B598" s="155"/>
      <c r="E598" s="156"/>
      <c r="H598" s="130"/>
      <c r="I598" s="130"/>
      <c r="J598" s="157"/>
      <c r="K598" s="158"/>
      <c r="L598" s="130"/>
      <c r="M598" s="130"/>
      <c r="O598" s="128"/>
    </row>
    <row r="599" spans="1:15" ht="12.75" x14ac:dyDescent="0.2">
      <c r="A599" s="126"/>
      <c r="B599" s="155"/>
      <c r="E599" s="156"/>
      <c r="H599" s="130"/>
      <c r="I599" s="130"/>
      <c r="J599" s="157"/>
      <c r="K599" s="158"/>
      <c r="L599" s="130"/>
      <c r="M599" s="130"/>
      <c r="O599" s="128"/>
    </row>
    <row r="600" spans="1:15" ht="12.75" x14ac:dyDescent="0.2">
      <c r="A600" s="126"/>
      <c r="B600" s="155"/>
      <c r="E600" s="156"/>
      <c r="H600" s="130"/>
      <c r="I600" s="130"/>
      <c r="J600" s="157"/>
      <c r="K600" s="158"/>
      <c r="L600" s="130"/>
      <c r="M600" s="130"/>
      <c r="O600" s="128"/>
    </row>
    <row r="601" spans="1:15" ht="12.75" x14ac:dyDescent="0.2">
      <c r="A601" s="126"/>
      <c r="B601" s="155"/>
      <c r="E601" s="156"/>
      <c r="H601" s="130"/>
      <c r="I601" s="130"/>
      <c r="J601" s="157"/>
      <c r="K601" s="158"/>
      <c r="L601" s="130"/>
      <c r="M601" s="130"/>
      <c r="O601" s="128"/>
    </row>
    <row r="602" spans="1:15" ht="12.75" x14ac:dyDescent="0.2">
      <c r="A602" s="126"/>
      <c r="B602" s="155"/>
      <c r="E602" s="156"/>
      <c r="H602" s="130"/>
      <c r="I602" s="130"/>
      <c r="J602" s="157"/>
      <c r="K602" s="158"/>
      <c r="L602" s="130"/>
      <c r="M602" s="130"/>
      <c r="O602" s="128"/>
    </row>
    <row r="603" spans="1:15" ht="12.75" x14ac:dyDescent="0.2">
      <c r="A603" s="126"/>
      <c r="B603" s="155"/>
      <c r="E603" s="156"/>
      <c r="H603" s="130"/>
      <c r="I603" s="130"/>
      <c r="J603" s="157"/>
      <c r="K603" s="158"/>
      <c r="L603" s="130"/>
      <c r="M603" s="130"/>
      <c r="O603" s="128"/>
    </row>
    <row r="604" spans="1:15" ht="12.75" x14ac:dyDescent="0.2">
      <c r="A604" s="126"/>
      <c r="B604" s="155"/>
      <c r="E604" s="156"/>
      <c r="H604" s="130"/>
      <c r="I604" s="130"/>
      <c r="J604" s="157"/>
      <c r="K604" s="158"/>
      <c r="L604" s="130"/>
      <c r="M604" s="130"/>
      <c r="O604" s="128"/>
    </row>
    <row r="605" spans="1:15" ht="12.75" x14ac:dyDescent="0.2">
      <c r="A605" s="126"/>
      <c r="B605" s="155"/>
      <c r="E605" s="156"/>
      <c r="H605" s="130"/>
      <c r="I605" s="130"/>
      <c r="J605" s="157"/>
      <c r="K605" s="158"/>
      <c r="L605" s="130"/>
      <c r="M605" s="130"/>
      <c r="O605" s="128"/>
    </row>
    <row r="606" spans="1:15" ht="12.75" x14ac:dyDescent="0.2">
      <c r="A606" s="126"/>
      <c r="B606" s="155"/>
      <c r="E606" s="156"/>
      <c r="H606" s="130"/>
      <c r="I606" s="130"/>
      <c r="J606" s="157"/>
      <c r="K606" s="158"/>
      <c r="L606" s="130"/>
      <c r="M606" s="130"/>
      <c r="O606" s="128"/>
    </row>
    <row r="607" spans="1:15" ht="12.75" x14ac:dyDescent="0.2">
      <c r="A607" s="126"/>
      <c r="B607" s="155"/>
      <c r="E607" s="156"/>
      <c r="H607" s="130"/>
      <c r="I607" s="130"/>
      <c r="J607" s="157"/>
      <c r="K607" s="158"/>
      <c r="L607" s="130"/>
      <c r="M607" s="130"/>
      <c r="O607" s="128"/>
    </row>
    <row r="608" spans="1:15" ht="12.75" x14ac:dyDescent="0.2">
      <c r="A608" s="126"/>
      <c r="B608" s="155"/>
      <c r="E608" s="156"/>
      <c r="H608" s="130"/>
      <c r="I608" s="130"/>
      <c r="J608" s="157"/>
      <c r="K608" s="158"/>
      <c r="L608" s="130"/>
      <c r="M608" s="130"/>
      <c r="O608" s="128"/>
    </row>
    <row r="609" spans="1:15" ht="12.75" x14ac:dyDescent="0.2">
      <c r="A609" s="126"/>
      <c r="B609" s="155"/>
      <c r="E609" s="156"/>
      <c r="H609" s="130"/>
      <c r="I609" s="130"/>
      <c r="J609" s="157"/>
      <c r="K609" s="158"/>
      <c r="L609" s="130"/>
      <c r="M609" s="130"/>
      <c r="O609" s="128"/>
    </row>
    <row r="610" spans="1:15" ht="12.75" x14ac:dyDescent="0.2">
      <c r="A610" s="126"/>
      <c r="B610" s="155"/>
      <c r="E610" s="156"/>
      <c r="H610" s="130"/>
      <c r="I610" s="130"/>
      <c r="J610" s="157"/>
      <c r="K610" s="158"/>
      <c r="L610" s="130"/>
      <c r="M610" s="130"/>
      <c r="O610" s="128"/>
    </row>
    <row r="611" spans="1:15" ht="12.75" x14ac:dyDescent="0.2">
      <c r="A611" s="126"/>
      <c r="B611" s="155"/>
      <c r="E611" s="156"/>
      <c r="H611" s="130"/>
      <c r="I611" s="130"/>
      <c r="J611" s="157"/>
      <c r="K611" s="158"/>
      <c r="L611" s="130"/>
      <c r="M611" s="130"/>
      <c r="O611" s="128"/>
    </row>
    <row r="612" spans="1:15" ht="12.75" x14ac:dyDescent="0.2">
      <c r="A612" s="126"/>
      <c r="B612" s="155"/>
      <c r="E612" s="156"/>
      <c r="H612" s="130"/>
      <c r="I612" s="130"/>
      <c r="J612" s="157"/>
      <c r="K612" s="158"/>
      <c r="L612" s="130"/>
      <c r="M612" s="130"/>
      <c r="O612" s="128"/>
    </row>
    <row r="613" spans="1:15" ht="12.75" x14ac:dyDescent="0.2">
      <c r="A613" s="126"/>
      <c r="B613" s="155"/>
      <c r="E613" s="156"/>
      <c r="H613" s="130"/>
      <c r="I613" s="130"/>
      <c r="J613" s="157"/>
      <c r="K613" s="158"/>
      <c r="L613" s="130"/>
      <c r="M613" s="130"/>
      <c r="O613" s="128"/>
    </row>
    <row r="614" spans="1:15" ht="12.75" x14ac:dyDescent="0.2">
      <c r="A614" s="126"/>
      <c r="B614" s="155"/>
      <c r="E614" s="156"/>
      <c r="H614" s="130"/>
      <c r="I614" s="130"/>
      <c r="J614" s="157"/>
      <c r="K614" s="158"/>
      <c r="L614" s="130"/>
      <c r="M614" s="130"/>
      <c r="O614" s="128"/>
    </row>
    <row r="615" spans="1:15" ht="12.75" x14ac:dyDescent="0.2">
      <c r="A615" s="126"/>
      <c r="B615" s="155"/>
      <c r="E615" s="156"/>
      <c r="H615" s="130"/>
      <c r="I615" s="130"/>
      <c r="J615" s="157"/>
      <c r="K615" s="158"/>
      <c r="L615" s="130"/>
      <c r="M615" s="130"/>
      <c r="O615" s="128"/>
    </row>
    <row r="616" spans="1:15" ht="12.75" x14ac:dyDescent="0.2">
      <c r="A616" s="126"/>
      <c r="B616" s="155"/>
      <c r="E616" s="156"/>
      <c r="H616" s="130"/>
      <c r="I616" s="130"/>
      <c r="J616" s="157"/>
      <c r="K616" s="158"/>
      <c r="L616" s="130"/>
      <c r="M616" s="130"/>
      <c r="O616" s="128"/>
    </row>
    <row r="617" spans="1:15" ht="12.75" x14ac:dyDescent="0.2">
      <c r="A617" s="126"/>
      <c r="B617" s="155"/>
      <c r="E617" s="156"/>
      <c r="H617" s="130"/>
      <c r="I617" s="130"/>
      <c r="J617" s="157"/>
      <c r="K617" s="158"/>
      <c r="L617" s="130"/>
      <c r="M617" s="130"/>
      <c r="O617" s="128"/>
    </row>
    <row r="618" spans="1:15" ht="12.75" x14ac:dyDescent="0.2">
      <c r="A618" s="126"/>
      <c r="B618" s="155"/>
      <c r="E618" s="156"/>
      <c r="H618" s="130"/>
      <c r="I618" s="130"/>
      <c r="J618" s="157"/>
      <c r="K618" s="158"/>
      <c r="L618" s="130"/>
      <c r="M618" s="130"/>
      <c r="O618" s="128"/>
    </row>
    <row r="619" spans="1:15" ht="12.75" x14ac:dyDescent="0.2">
      <c r="A619" s="126"/>
      <c r="B619" s="155"/>
      <c r="E619" s="156"/>
      <c r="H619" s="130"/>
      <c r="I619" s="130"/>
      <c r="J619" s="157"/>
      <c r="K619" s="158"/>
      <c r="L619" s="130"/>
      <c r="M619" s="130"/>
      <c r="O619" s="128"/>
    </row>
    <row r="620" spans="1:15" ht="12.75" x14ac:dyDescent="0.2">
      <c r="A620" s="126"/>
      <c r="B620" s="155"/>
      <c r="E620" s="156"/>
      <c r="H620" s="130"/>
      <c r="I620" s="130"/>
      <c r="J620" s="157"/>
      <c r="K620" s="158"/>
      <c r="L620" s="130"/>
      <c r="M620" s="130"/>
      <c r="O620" s="128"/>
    </row>
    <row r="621" spans="1:15" ht="12.75" x14ac:dyDescent="0.2">
      <c r="A621" s="126"/>
      <c r="B621" s="155"/>
      <c r="E621" s="156"/>
      <c r="H621" s="130"/>
      <c r="I621" s="130"/>
      <c r="J621" s="157"/>
      <c r="K621" s="158"/>
      <c r="L621" s="130"/>
      <c r="M621" s="130"/>
      <c r="O621" s="128"/>
    </row>
    <row r="622" spans="1:15" ht="12.75" x14ac:dyDescent="0.2">
      <c r="A622" s="126"/>
      <c r="B622" s="155"/>
      <c r="E622" s="156"/>
      <c r="H622" s="130"/>
      <c r="I622" s="130"/>
      <c r="J622" s="157"/>
      <c r="K622" s="158"/>
      <c r="L622" s="130"/>
      <c r="M622" s="130"/>
      <c r="O622" s="128"/>
    </row>
    <row r="623" spans="1:15" ht="12.75" x14ac:dyDescent="0.2">
      <c r="A623" s="126"/>
      <c r="B623" s="155"/>
      <c r="E623" s="156"/>
      <c r="H623" s="130"/>
      <c r="I623" s="130"/>
      <c r="J623" s="157"/>
      <c r="K623" s="158"/>
      <c r="L623" s="130"/>
      <c r="M623" s="130"/>
      <c r="O623" s="128"/>
    </row>
    <row r="624" spans="1:15" ht="12.75" x14ac:dyDescent="0.2">
      <c r="A624" s="126"/>
      <c r="B624" s="155"/>
      <c r="E624" s="156"/>
      <c r="H624" s="130"/>
      <c r="I624" s="130"/>
      <c r="J624" s="157"/>
      <c r="K624" s="158"/>
      <c r="L624" s="130"/>
      <c r="M624" s="130"/>
      <c r="O624" s="128"/>
    </row>
    <row r="625" spans="1:15" ht="12.75" x14ac:dyDescent="0.2">
      <c r="A625" s="126"/>
      <c r="B625" s="155"/>
      <c r="E625" s="156"/>
      <c r="H625" s="130"/>
      <c r="I625" s="130"/>
      <c r="J625" s="157"/>
      <c r="K625" s="158"/>
      <c r="L625" s="130"/>
      <c r="M625" s="130"/>
      <c r="O625" s="128"/>
    </row>
    <row r="626" spans="1:15" ht="12.75" x14ac:dyDescent="0.2">
      <c r="A626" s="126"/>
      <c r="B626" s="155"/>
      <c r="E626" s="156"/>
      <c r="H626" s="130"/>
      <c r="I626" s="130"/>
      <c r="J626" s="157"/>
      <c r="K626" s="158"/>
      <c r="L626" s="130"/>
      <c r="M626" s="130"/>
      <c r="O626" s="128"/>
    </row>
    <row r="627" spans="1:15" ht="12.75" x14ac:dyDescent="0.2">
      <c r="A627" s="126"/>
      <c r="B627" s="155"/>
      <c r="E627" s="156"/>
      <c r="H627" s="130"/>
      <c r="I627" s="130"/>
      <c r="J627" s="157"/>
      <c r="K627" s="158"/>
      <c r="L627" s="130"/>
      <c r="M627" s="130"/>
      <c r="O627" s="128"/>
    </row>
    <row r="628" spans="1:15" ht="12.75" x14ac:dyDescent="0.2">
      <c r="A628" s="126"/>
      <c r="B628" s="155"/>
      <c r="E628" s="156"/>
      <c r="H628" s="130"/>
      <c r="I628" s="130"/>
      <c r="J628" s="157"/>
      <c r="K628" s="158"/>
      <c r="L628" s="130"/>
      <c r="M628" s="130"/>
      <c r="O628" s="128"/>
    </row>
    <row r="629" spans="1:15" ht="12.75" x14ac:dyDescent="0.2">
      <c r="A629" s="126"/>
      <c r="B629" s="155"/>
      <c r="E629" s="156"/>
      <c r="H629" s="130"/>
      <c r="I629" s="130"/>
      <c r="J629" s="157"/>
      <c r="K629" s="158"/>
      <c r="L629" s="130"/>
      <c r="M629" s="130"/>
      <c r="O629" s="128"/>
    </row>
    <row r="630" spans="1:15" ht="12.75" x14ac:dyDescent="0.2">
      <c r="A630" s="126"/>
      <c r="B630" s="155"/>
      <c r="E630" s="156"/>
      <c r="H630" s="130"/>
      <c r="I630" s="130"/>
      <c r="J630" s="157"/>
      <c r="K630" s="158"/>
      <c r="L630" s="130"/>
      <c r="M630" s="130"/>
      <c r="O630" s="128"/>
    </row>
    <row r="631" spans="1:15" ht="12.75" x14ac:dyDescent="0.2">
      <c r="A631" s="126"/>
      <c r="B631" s="155"/>
      <c r="E631" s="156"/>
      <c r="H631" s="130"/>
      <c r="I631" s="130"/>
      <c r="J631" s="157"/>
      <c r="K631" s="158"/>
      <c r="L631" s="130"/>
      <c r="M631" s="130"/>
      <c r="O631" s="128"/>
    </row>
    <row r="632" spans="1:15" ht="12.75" x14ac:dyDescent="0.2">
      <c r="A632" s="126"/>
      <c r="B632" s="155"/>
      <c r="E632" s="156"/>
      <c r="H632" s="130"/>
      <c r="I632" s="130"/>
      <c r="J632" s="157"/>
      <c r="K632" s="158"/>
      <c r="L632" s="130"/>
      <c r="M632" s="130"/>
      <c r="O632" s="128"/>
    </row>
    <row r="633" spans="1:15" ht="12.75" x14ac:dyDescent="0.2">
      <c r="A633" s="126"/>
      <c r="B633" s="155"/>
      <c r="E633" s="156"/>
      <c r="H633" s="130"/>
      <c r="I633" s="130"/>
      <c r="J633" s="157"/>
      <c r="K633" s="158"/>
      <c r="L633" s="130"/>
      <c r="M633" s="130"/>
      <c r="O633" s="128"/>
    </row>
    <row r="634" spans="1:15" ht="12.75" x14ac:dyDescent="0.2">
      <c r="A634" s="126"/>
      <c r="B634" s="155"/>
      <c r="E634" s="156"/>
      <c r="H634" s="130"/>
      <c r="I634" s="130"/>
      <c r="J634" s="157"/>
      <c r="K634" s="158"/>
      <c r="L634" s="130"/>
      <c r="M634" s="130"/>
      <c r="O634" s="128"/>
    </row>
    <row r="635" spans="1:15" ht="12.75" x14ac:dyDescent="0.2">
      <c r="A635" s="126"/>
      <c r="B635" s="155"/>
      <c r="E635" s="156"/>
      <c r="H635" s="130"/>
      <c r="I635" s="130"/>
      <c r="J635" s="157"/>
      <c r="K635" s="158"/>
      <c r="L635" s="130"/>
      <c r="M635" s="130"/>
      <c r="O635" s="128"/>
    </row>
    <row r="636" spans="1:15" ht="12.75" x14ac:dyDescent="0.2">
      <c r="A636" s="126"/>
      <c r="B636" s="155"/>
      <c r="E636" s="156"/>
      <c r="H636" s="130"/>
      <c r="I636" s="130"/>
      <c r="J636" s="157"/>
      <c r="K636" s="158"/>
      <c r="L636" s="130"/>
      <c r="M636" s="130"/>
      <c r="O636" s="128"/>
    </row>
    <row r="637" spans="1:15" ht="12.75" x14ac:dyDescent="0.2">
      <c r="A637" s="126"/>
      <c r="B637" s="155"/>
      <c r="E637" s="156"/>
      <c r="H637" s="130"/>
      <c r="I637" s="130"/>
      <c r="J637" s="157"/>
      <c r="K637" s="158"/>
      <c r="L637" s="130"/>
      <c r="M637" s="130"/>
      <c r="O637" s="128"/>
    </row>
    <row r="638" spans="1:15" ht="12.75" x14ac:dyDescent="0.2">
      <c r="A638" s="126"/>
      <c r="B638" s="155"/>
      <c r="E638" s="156"/>
      <c r="H638" s="130"/>
      <c r="I638" s="130"/>
      <c r="J638" s="157"/>
      <c r="K638" s="158"/>
      <c r="L638" s="130"/>
      <c r="M638" s="130"/>
      <c r="O638" s="128"/>
    </row>
    <row r="639" spans="1:15" ht="12.75" x14ac:dyDescent="0.2">
      <c r="A639" s="126"/>
      <c r="B639" s="155"/>
      <c r="E639" s="156"/>
      <c r="H639" s="130"/>
      <c r="I639" s="130"/>
      <c r="J639" s="157"/>
      <c r="K639" s="158"/>
      <c r="L639" s="130"/>
      <c r="M639" s="130"/>
      <c r="O639" s="128"/>
    </row>
    <row r="640" spans="1:15" ht="12.75" x14ac:dyDescent="0.2">
      <c r="A640" s="126"/>
      <c r="B640" s="155"/>
      <c r="E640" s="156"/>
      <c r="H640" s="130"/>
      <c r="I640" s="130"/>
      <c r="J640" s="157"/>
      <c r="K640" s="158"/>
      <c r="L640" s="130"/>
      <c r="M640" s="130"/>
      <c r="O640" s="128"/>
    </row>
    <row r="641" spans="1:15" ht="12.75" x14ac:dyDescent="0.2">
      <c r="A641" s="126"/>
      <c r="B641" s="155"/>
      <c r="E641" s="156"/>
      <c r="H641" s="130"/>
      <c r="I641" s="130"/>
      <c r="J641" s="157"/>
      <c r="K641" s="158"/>
      <c r="L641" s="130"/>
      <c r="M641" s="130"/>
      <c r="O641" s="128"/>
    </row>
    <row r="642" spans="1:15" ht="12.75" x14ac:dyDescent="0.2">
      <c r="A642" s="126"/>
      <c r="B642" s="155"/>
      <c r="E642" s="156"/>
      <c r="H642" s="130"/>
      <c r="I642" s="130"/>
      <c r="J642" s="157"/>
      <c r="K642" s="158"/>
      <c r="L642" s="130"/>
      <c r="M642" s="130"/>
      <c r="O642" s="128"/>
    </row>
    <row r="643" spans="1:15" ht="12.75" x14ac:dyDescent="0.2">
      <c r="A643" s="126"/>
      <c r="B643" s="155"/>
      <c r="E643" s="156"/>
      <c r="H643" s="130"/>
      <c r="I643" s="130"/>
      <c r="J643" s="157"/>
      <c r="K643" s="158"/>
      <c r="L643" s="130"/>
      <c r="M643" s="130"/>
      <c r="O643" s="128"/>
    </row>
    <row r="644" spans="1:15" ht="12.75" x14ac:dyDescent="0.2">
      <c r="A644" s="126"/>
      <c r="B644" s="155"/>
      <c r="E644" s="156"/>
      <c r="H644" s="130"/>
      <c r="I644" s="130"/>
      <c r="J644" s="157"/>
      <c r="K644" s="158"/>
      <c r="L644" s="130"/>
      <c r="M644" s="130"/>
      <c r="O644" s="128"/>
    </row>
    <row r="645" spans="1:15" ht="12.75" x14ac:dyDescent="0.2">
      <c r="A645" s="126"/>
      <c r="B645" s="155"/>
      <c r="E645" s="156"/>
      <c r="H645" s="130"/>
      <c r="I645" s="130"/>
      <c r="J645" s="157"/>
      <c r="K645" s="158"/>
      <c r="L645" s="130"/>
      <c r="M645" s="130"/>
      <c r="O645" s="128"/>
    </row>
    <row r="646" spans="1:15" ht="12.75" x14ac:dyDescent="0.2">
      <c r="A646" s="126"/>
      <c r="B646" s="155"/>
      <c r="E646" s="156"/>
      <c r="H646" s="130"/>
      <c r="I646" s="130"/>
      <c r="J646" s="157"/>
      <c r="K646" s="158"/>
      <c r="L646" s="130"/>
      <c r="M646" s="130"/>
      <c r="O646" s="128"/>
    </row>
    <row r="647" spans="1:15" ht="12.75" x14ac:dyDescent="0.2">
      <c r="A647" s="126"/>
      <c r="B647" s="155"/>
      <c r="E647" s="156"/>
      <c r="H647" s="130"/>
      <c r="I647" s="130"/>
      <c r="J647" s="157"/>
      <c r="K647" s="158"/>
      <c r="L647" s="130"/>
      <c r="M647" s="130"/>
      <c r="O647" s="128"/>
    </row>
    <row r="648" spans="1:15" ht="12.75" x14ac:dyDescent="0.2">
      <c r="A648" s="126"/>
      <c r="B648" s="155"/>
      <c r="E648" s="156"/>
      <c r="H648" s="130"/>
      <c r="I648" s="130"/>
      <c r="J648" s="157"/>
      <c r="K648" s="158"/>
      <c r="L648" s="130"/>
      <c r="M648" s="130"/>
      <c r="O648" s="128"/>
    </row>
    <row r="649" spans="1:15" ht="12.75" x14ac:dyDescent="0.2">
      <c r="A649" s="126"/>
      <c r="B649" s="155"/>
      <c r="E649" s="156"/>
      <c r="H649" s="130"/>
      <c r="I649" s="130"/>
      <c r="J649" s="157"/>
      <c r="K649" s="158"/>
      <c r="L649" s="130"/>
      <c r="M649" s="130"/>
      <c r="O649" s="128"/>
    </row>
    <row r="650" spans="1:15" ht="12.75" x14ac:dyDescent="0.2">
      <c r="A650" s="126"/>
      <c r="B650" s="155"/>
      <c r="E650" s="156"/>
      <c r="H650" s="130"/>
      <c r="I650" s="130"/>
      <c r="J650" s="157"/>
      <c r="K650" s="158"/>
      <c r="L650" s="130"/>
      <c r="M650" s="130"/>
      <c r="O650" s="128"/>
    </row>
    <row r="651" spans="1:15" ht="12.75" x14ac:dyDescent="0.2">
      <c r="A651" s="126"/>
      <c r="B651" s="155"/>
      <c r="E651" s="156"/>
      <c r="H651" s="130"/>
      <c r="I651" s="130"/>
      <c r="J651" s="157"/>
      <c r="K651" s="158"/>
      <c r="L651" s="130"/>
      <c r="M651" s="130"/>
      <c r="O651" s="128"/>
    </row>
    <row r="652" spans="1:15" ht="12.75" x14ac:dyDescent="0.2">
      <c r="A652" s="126"/>
      <c r="B652" s="155"/>
      <c r="E652" s="156"/>
      <c r="H652" s="130"/>
      <c r="I652" s="130"/>
      <c r="J652" s="157"/>
      <c r="K652" s="158"/>
      <c r="L652" s="130"/>
      <c r="M652" s="130"/>
      <c r="O652" s="128"/>
    </row>
    <row r="653" spans="1:15" ht="12.75" x14ac:dyDescent="0.2">
      <c r="A653" s="126"/>
      <c r="B653" s="155"/>
      <c r="E653" s="156"/>
      <c r="H653" s="130"/>
      <c r="I653" s="130"/>
      <c r="J653" s="157"/>
      <c r="K653" s="158"/>
      <c r="L653" s="130"/>
      <c r="M653" s="130"/>
      <c r="O653" s="128"/>
    </row>
    <row r="654" spans="1:15" ht="12.75" x14ac:dyDescent="0.2">
      <c r="A654" s="126"/>
      <c r="B654" s="155"/>
      <c r="E654" s="156"/>
      <c r="H654" s="130"/>
      <c r="I654" s="130"/>
      <c r="J654" s="157"/>
      <c r="K654" s="158"/>
      <c r="L654" s="130"/>
      <c r="M654" s="130"/>
      <c r="O654" s="128"/>
    </row>
    <row r="655" spans="1:15" ht="12.75" x14ac:dyDescent="0.2">
      <c r="A655" s="126"/>
      <c r="B655" s="155"/>
      <c r="E655" s="156"/>
      <c r="H655" s="130"/>
      <c r="I655" s="130"/>
      <c r="J655" s="157"/>
      <c r="K655" s="158"/>
      <c r="L655" s="130"/>
      <c r="M655" s="130"/>
      <c r="O655" s="128"/>
    </row>
    <row r="656" spans="1:15" ht="12.75" x14ac:dyDescent="0.2">
      <c r="A656" s="126"/>
      <c r="B656" s="155"/>
      <c r="E656" s="156"/>
      <c r="H656" s="130"/>
      <c r="I656" s="130"/>
      <c r="J656" s="157"/>
      <c r="K656" s="158"/>
      <c r="L656" s="130"/>
      <c r="M656" s="130"/>
      <c r="O656" s="128"/>
    </row>
    <row r="657" spans="1:15" ht="12.75" x14ac:dyDescent="0.2">
      <c r="A657" s="126"/>
      <c r="B657" s="155"/>
      <c r="E657" s="156"/>
      <c r="H657" s="130"/>
      <c r="I657" s="130"/>
      <c r="J657" s="157"/>
      <c r="K657" s="158"/>
      <c r="L657" s="130"/>
      <c r="M657" s="130"/>
      <c r="O657" s="128"/>
    </row>
    <row r="658" spans="1:15" ht="12.75" x14ac:dyDescent="0.2">
      <c r="A658" s="126"/>
      <c r="B658" s="155"/>
      <c r="E658" s="156"/>
      <c r="H658" s="130"/>
      <c r="I658" s="130"/>
      <c r="J658" s="157"/>
      <c r="K658" s="158"/>
      <c r="L658" s="130"/>
      <c r="M658" s="130"/>
      <c r="O658" s="128"/>
    </row>
    <row r="659" spans="1:15" ht="12.75" x14ac:dyDescent="0.2">
      <c r="A659" s="126"/>
      <c r="B659" s="155"/>
      <c r="E659" s="156"/>
      <c r="H659" s="130"/>
      <c r="I659" s="130"/>
      <c r="J659" s="157"/>
      <c r="K659" s="158"/>
      <c r="L659" s="130"/>
      <c r="M659" s="130"/>
      <c r="O659" s="128"/>
    </row>
    <row r="660" spans="1:15" ht="12.75" x14ac:dyDescent="0.2">
      <c r="A660" s="126"/>
      <c r="B660" s="155"/>
      <c r="E660" s="156"/>
      <c r="H660" s="130"/>
      <c r="I660" s="130"/>
      <c r="J660" s="157"/>
      <c r="K660" s="158"/>
      <c r="L660" s="130"/>
      <c r="M660" s="130"/>
      <c r="O660" s="128"/>
    </row>
    <row r="661" spans="1:15" ht="12.75" x14ac:dyDescent="0.2">
      <c r="A661" s="126"/>
      <c r="B661" s="155"/>
      <c r="E661" s="156"/>
      <c r="H661" s="130"/>
      <c r="I661" s="130"/>
      <c r="J661" s="157"/>
      <c r="K661" s="158"/>
      <c r="L661" s="130"/>
      <c r="M661" s="130"/>
      <c r="O661" s="128"/>
    </row>
    <row r="662" spans="1:15" ht="12.75" x14ac:dyDescent="0.2">
      <c r="A662" s="126"/>
      <c r="B662" s="155"/>
      <c r="E662" s="156"/>
      <c r="H662" s="130"/>
      <c r="I662" s="130"/>
      <c r="J662" s="157"/>
      <c r="K662" s="158"/>
      <c r="L662" s="130"/>
      <c r="M662" s="130"/>
      <c r="O662" s="128"/>
    </row>
    <row r="663" spans="1:15" ht="12.75" x14ac:dyDescent="0.2">
      <c r="A663" s="126"/>
      <c r="B663" s="155"/>
      <c r="E663" s="156"/>
      <c r="H663" s="130"/>
      <c r="I663" s="130"/>
      <c r="J663" s="157"/>
      <c r="K663" s="158"/>
      <c r="L663" s="130"/>
      <c r="M663" s="130"/>
      <c r="O663" s="128"/>
    </row>
    <row r="664" spans="1:15" ht="12.75" x14ac:dyDescent="0.2">
      <c r="A664" s="126"/>
      <c r="B664" s="155"/>
      <c r="E664" s="156"/>
      <c r="H664" s="130"/>
      <c r="I664" s="130"/>
      <c r="J664" s="157"/>
      <c r="K664" s="158"/>
      <c r="L664" s="130"/>
      <c r="M664" s="130"/>
      <c r="O664" s="128"/>
    </row>
    <row r="665" spans="1:15" ht="12.75" x14ac:dyDescent="0.2">
      <c r="A665" s="126"/>
      <c r="B665" s="155"/>
      <c r="E665" s="156"/>
      <c r="H665" s="130"/>
      <c r="I665" s="130"/>
      <c r="J665" s="157"/>
      <c r="K665" s="158"/>
      <c r="L665" s="130"/>
      <c r="M665" s="130"/>
      <c r="O665" s="128"/>
    </row>
    <row r="666" spans="1:15" ht="12.75" x14ac:dyDescent="0.2">
      <c r="A666" s="126"/>
      <c r="B666" s="155"/>
      <c r="E666" s="156"/>
      <c r="H666" s="130"/>
      <c r="I666" s="130"/>
      <c r="J666" s="157"/>
      <c r="K666" s="158"/>
      <c r="L666" s="130"/>
      <c r="M666" s="130"/>
      <c r="O666" s="128"/>
    </row>
    <row r="667" spans="1:15" ht="12.75" x14ac:dyDescent="0.2">
      <c r="A667" s="126"/>
      <c r="B667" s="155"/>
      <c r="E667" s="156"/>
      <c r="H667" s="130"/>
      <c r="I667" s="130"/>
      <c r="J667" s="157"/>
      <c r="K667" s="158"/>
      <c r="L667" s="130"/>
      <c r="M667" s="130"/>
      <c r="O667" s="128"/>
    </row>
    <row r="668" spans="1:15" ht="12.75" x14ac:dyDescent="0.2">
      <c r="A668" s="126"/>
      <c r="B668" s="155"/>
      <c r="E668" s="156"/>
      <c r="H668" s="130"/>
      <c r="I668" s="130"/>
      <c r="J668" s="157"/>
      <c r="K668" s="158"/>
      <c r="L668" s="130"/>
      <c r="M668" s="130"/>
      <c r="O668" s="128"/>
    </row>
    <row r="669" spans="1:15" ht="12.75" x14ac:dyDescent="0.2">
      <c r="A669" s="126"/>
      <c r="B669" s="155"/>
      <c r="E669" s="156"/>
      <c r="H669" s="130"/>
      <c r="I669" s="130"/>
      <c r="J669" s="157"/>
      <c r="K669" s="158"/>
      <c r="L669" s="130"/>
      <c r="M669" s="130"/>
      <c r="O669" s="128"/>
    </row>
    <row r="670" spans="1:15" ht="12.75" x14ac:dyDescent="0.2">
      <c r="A670" s="126"/>
      <c r="B670" s="155"/>
      <c r="E670" s="156"/>
      <c r="H670" s="130"/>
      <c r="I670" s="130"/>
      <c r="J670" s="157"/>
      <c r="K670" s="158"/>
      <c r="L670" s="130"/>
      <c r="M670" s="130"/>
      <c r="O670" s="128"/>
    </row>
    <row r="671" spans="1:15" ht="12.75" x14ac:dyDescent="0.2">
      <c r="A671" s="126"/>
      <c r="B671" s="155"/>
      <c r="E671" s="156"/>
      <c r="H671" s="130"/>
      <c r="I671" s="130"/>
      <c r="J671" s="157"/>
      <c r="K671" s="158"/>
      <c r="L671" s="130"/>
      <c r="M671" s="130"/>
      <c r="O671" s="128"/>
    </row>
    <row r="672" spans="1:15" ht="12.75" x14ac:dyDescent="0.2">
      <c r="A672" s="126"/>
      <c r="B672" s="155"/>
      <c r="E672" s="156"/>
      <c r="H672" s="130"/>
      <c r="I672" s="130"/>
      <c r="J672" s="157"/>
      <c r="K672" s="158"/>
      <c r="L672" s="130"/>
      <c r="M672" s="130"/>
      <c r="O672" s="128"/>
    </row>
    <row r="673" spans="1:15" ht="12.75" x14ac:dyDescent="0.2">
      <c r="A673" s="126"/>
      <c r="B673" s="155"/>
      <c r="E673" s="156"/>
      <c r="H673" s="130"/>
      <c r="I673" s="130"/>
      <c r="J673" s="157"/>
      <c r="K673" s="158"/>
      <c r="L673" s="130"/>
      <c r="M673" s="130"/>
      <c r="O673" s="128"/>
    </row>
    <row r="674" spans="1:15" ht="12.75" x14ac:dyDescent="0.2">
      <c r="A674" s="126"/>
      <c r="B674" s="155"/>
      <c r="E674" s="156"/>
      <c r="H674" s="130"/>
      <c r="I674" s="130"/>
      <c r="J674" s="157"/>
      <c r="K674" s="158"/>
      <c r="L674" s="130"/>
      <c r="M674" s="130"/>
      <c r="O674" s="128"/>
    </row>
    <row r="675" spans="1:15" ht="12.75" x14ac:dyDescent="0.2">
      <c r="A675" s="126"/>
      <c r="B675" s="155"/>
      <c r="E675" s="156"/>
      <c r="H675" s="130"/>
      <c r="I675" s="130"/>
      <c r="J675" s="157"/>
      <c r="K675" s="158"/>
      <c r="L675" s="130"/>
      <c r="M675" s="130"/>
      <c r="O675" s="128"/>
    </row>
    <row r="676" spans="1:15" ht="12.75" x14ac:dyDescent="0.2">
      <c r="A676" s="126"/>
      <c r="B676" s="155"/>
      <c r="E676" s="156"/>
      <c r="H676" s="130"/>
      <c r="I676" s="130"/>
      <c r="J676" s="157"/>
      <c r="K676" s="158"/>
      <c r="L676" s="130"/>
      <c r="M676" s="130"/>
      <c r="O676" s="128"/>
    </row>
    <row r="677" spans="1:15" ht="12.75" x14ac:dyDescent="0.2">
      <c r="A677" s="126"/>
      <c r="B677" s="155"/>
      <c r="E677" s="156"/>
      <c r="H677" s="130"/>
      <c r="I677" s="130"/>
      <c r="J677" s="157"/>
      <c r="K677" s="158"/>
      <c r="L677" s="130"/>
      <c r="M677" s="130"/>
      <c r="O677" s="128"/>
    </row>
    <row r="678" spans="1:15" ht="12.75" x14ac:dyDescent="0.2">
      <c r="A678" s="126"/>
      <c r="B678" s="155"/>
      <c r="E678" s="156"/>
      <c r="H678" s="130"/>
      <c r="I678" s="130"/>
      <c r="J678" s="157"/>
      <c r="K678" s="158"/>
      <c r="L678" s="130"/>
      <c r="M678" s="130"/>
      <c r="O678" s="128"/>
    </row>
    <row r="679" spans="1:15" ht="12.75" x14ac:dyDescent="0.2">
      <c r="A679" s="126"/>
      <c r="B679" s="155"/>
      <c r="E679" s="156"/>
      <c r="H679" s="130"/>
      <c r="I679" s="130"/>
      <c r="J679" s="157"/>
      <c r="K679" s="158"/>
      <c r="L679" s="130"/>
      <c r="M679" s="130"/>
      <c r="O679" s="128"/>
    </row>
    <row r="680" spans="1:15" ht="12.75" x14ac:dyDescent="0.2">
      <c r="A680" s="126"/>
      <c r="B680" s="155"/>
      <c r="E680" s="156"/>
      <c r="H680" s="130"/>
      <c r="I680" s="130"/>
      <c r="J680" s="157"/>
      <c r="K680" s="158"/>
      <c r="L680" s="130"/>
      <c r="M680" s="130"/>
      <c r="O680" s="128"/>
    </row>
    <row r="681" spans="1:15" ht="12.75" x14ac:dyDescent="0.2">
      <c r="A681" s="126"/>
      <c r="B681" s="155"/>
      <c r="E681" s="156"/>
      <c r="H681" s="130"/>
      <c r="I681" s="130"/>
      <c r="J681" s="157"/>
      <c r="K681" s="158"/>
      <c r="L681" s="130"/>
      <c r="M681" s="130"/>
      <c r="O681" s="128"/>
    </row>
    <row r="682" spans="1:15" ht="12.75" x14ac:dyDescent="0.2">
      <c r="A682" s="126"/>
      <c r="B682" s="155"/>
      <c r="E682" s="156"/>
      <c r="H682" s="130"/>
      <c r="I682" s="130"/>
      <c r="J682" s="157"/>
      <c r="K682" s="158"/>
      <c r="L682" s="130"/>
      <c r="M682" s="130"/>
      <c r="O682" s="128"/>
    </row>
    <row r="683" spans="1:15" ht="12.75" x14ac:dyDescent="0.2">
      <c r="A683" s="126"/>
      <c r="B683" s="155"/>
      <c r="E683" s="156"/>
      <c r="H683" s="130"/>
      <c r="I683" s="130"/>
      <c r="J683" s="157"/>
      <c r="K683" s="158"/>
      <c r="L683" s="130"/>
      <c r="M683" s="130"/>
      <c r="O683" s="128"/>
    </row>
    <row r="684" spans="1:15" ht="12.75" x14ac:dyDescent="0.2">
      <c r="A684" s="126"/>
      <c r="B684" s="155"/>
      <c r="E684" s="156"/>
      <c r="H684" s="130"/>
      <c r="I684" s="130"/>
      <c r="J684" s="157"/>
      <c r="K684" s="158"/>
      <c r="L684" s="130"/>
      <c r="M684" s="130"/>
      <c r="O684" s="128"/>
    </row>
    <row r="685" spans="1:15" ht="12.75" x14ac:dyDescent="0.2">
      <c r="A685" s="126"/>
      <c r="B685" s="155"/>
      <c r="E685" s="156"/>
      <c r="H685" s="130"/>
      <c r="I685" s="130"/>
      <c r="J685" s="157"/>
      <c r="K685" s="158"/>
      <c r="L685" s="130"/>
      <c r="M685" s="130"/>
      <c r="O685" s="128"/>
    </row>
    <row r="686" spans="1:15" ht="12.75" x14ac:dyDescent="0.2">
      <c r="A686" s="126"/>
      <c r="B686" s="155"/>
      <c r="E686" s="156"/>
      <c r="H686" s="130"/>
      <c r="I686" s="130"/>
      <c r="J686" s="157"/>
      <c r="K686" s="158"/>
      <c r="L686" s="130"/>
      <c r="M686" s="130"/>
      <c r="O686" s="128"/>
    </row>
    <row r="687" spans="1:15" ht="12.75" x14ac:dyDescent="0.2">
      <c r="A687" s="126"/>
      <c r="B687" s="155"/>
      <c r="E687" s="156"/>
      <c r="H687" s="130"/>
      <c r="I687" s="130"/>
      <c r="J687" s="157"/>
      <c r="K687" s="158"/>
      <c r="L687" s="130"/>
      <c r="M687" s="130"/>
      <c r="O687" s="128"/>
    </row>
    <row r="688" spans="1:15" ht="12.75" x14ac:dyDescent="0.2">
      <c r="A688" s="126"/>
      <c r="B688" s="155"/>
      <c r="E688" s="156"/>
      <c r="H688" s="130"/>
      <c r="I688" s="130"/>
      <c r="J688" s="157"/>
      <c r="K688" s="158"/>
      <c r="L688" s="130"/>
      <c r="M688" s="130"/>
      <c r="O688" s="128"/>
    </row>
    <row r="689" spans="1:15" ht="12.75" x14ac:dyDescent="0.2">
      <c r="A689" s="126"/>
      <c r="B689" s="155"/>
      <c r="E689" s="156"/>
      <c r="H689" s="130"/>
      <c r="I689" s="130"/>
      <c r="J689" s="157"/>
      <c r="K689" s="158"/>
      <c r="L689" s="130"/>
      <c r="M689" s="130"/>
      <c r="O689" s="128"/>
    </row>
    <row r="690" spans="1:15" ht="12.75" x14ac:dyDescent="0.2">
      <c r="A690" s="126"/>
      <c r="B690" s="155"/>
      <c r="E690" s="156"/>
      <c r="H690" s="130"/>
      <c r="I690" s="130"/>
      <c r="J690" s="157"/>
      <c r="K690" s="158"/>
      <c r="L690" s="130"/>
      <c r="M690" s="130"/>
      <c r="O690" s="128"/>
    </row>
    <row r="691" spans="1:15" ht="12.75" x14ac:dyDescent="0.2">
      <c r="A691" s="126"/>
      <c r="B691" s="155"/>
      <c r="E691" s="156"/>
      <c r="H691" s="130"/>
      <c r="I691" s="130"/>
      <c r="J691" s="157"/>
      <c r="K691" s="158"/>
      <c r="L691" s="130"/>
      <c r="M691" s="130"/>
      <c r="O691" s="128"/>
    </row>
    <row r="692" spans="1:15" ht="12.75" x14ac:dyDescent="0.2">
      <c r="A692" s="126"/>
      <c r="B692" s="155"/>
      <c r="E692" s="156"/>
      <c r="H692" s="130"/>
      <c r="I692" s="130"/>
      <c r="J692" s="157"/>
      <c r="K692" s="158"/>
      <c r="L692" s="130"/>
      <c r="M692" s="130"/>
      <c r="O692" s="128"/>
    </row>
    <row r="693" spans="1:15" ht="12.75" x14ac:dyDescent="0.2">
      <c r="A693" s="126"/>
      <c r="B693" s="155"/>
      <c r="E693" s="156"/>
      <c r="H693" s="130"/>
      <c r="I693" s="130"/>
      <c r="J693" s="157"/>
      <c r="K693" s="158"/>
      <c r="L693" s="130"/>
      <c r="M693" s="130"/>
      <c r="O693" s="128"/>
    </row>
    <row r="694" spans="1:15" ht="12.75" x14ac:dyDescent="0.2">
      <c r="A694" s="126"/>
      <c r="B694" s="155"/>
      <c r="E694" s="156"/>
      <c r="H694" s="130"/>
      <c r="I694" s="130"/>
      <c r="J694" s="157"/>
      <c r="K694" s="158"/>
      <c r="L694" s="130"/>
      <c r="M694" s="130"/>
      <c r="O694" s="128"/>
    </row>
    <row r="695" spans="1:15" ht="12.75" x14ac:dyDescent="0.2">
      <c r="A695" s="126"/>
      <c r="B695" s="155"/>
      <c r="E695" s="156"/>
      <c r="H695" s="130"/>
      <c r="I695" s="130"/>
      <c r="J695" s="157"/>
      <c r="K695" s="158"/>
      <c r="L695" s="130"/>
      <c r="M695" s="130"/>
      <c r="O695" s="128"/>
    </row>
    <row r="696" spans="1:15" ht="12.75" x14ac:dyDescent="0.2">
      <c r="A696" s="126"/>
      <c r="B696" s="155"/>
      <c r="E696" s="156"/>
      <c r="H696" s="130"/>
      <c r="I696" s="130"/>
      <c r="J696" s="157"/>
      <c r="K696" s="158"/>
      <c r="L696" s="130"/>
      <c r="M696" s="130"/>
      <c r="O696" s="128"/>
    </row>
    <row r="697" spans="1:15" ht="12.75" x14ac:dyDescent="0.2">
      <c r="A697" s="126"/>
      <c r="B697" s="155"/>
      <c r="E697" s="156"/>
      <c r="H697" s="130"/>
      <c r="I697" s="130"/>
      <c r="J697" s="157"/>
      <c r="K697" s="158"/>
      <c r="L697" s="130"/>
      <c r="M697" s="130"/>
      <c r="O697" s="128"/>
    </row>
    <row r="698" spans="1:15" ht="12.75" x14ac:dyDescent="0.2">
      <c r="A698" s="126"/>
      <c r="B698" s="155"/>
      <c r="E698" s="156"/>
      <c r="H698" s="130"/>
      <c r="I698" s="130"/>
      <c r="J698" s="157"/>
      <c r="K698" s="158"/>
      <c r="L698" s="130"/>
      <c r="M698" s="130"/>
      <c r="O698" s="128"/>
    </row>
    <row r="699" spans="1:15" ht="12.75" x14ac:dyDescent="0.2">
      <c r="A699" s="126"/>
      <c r="B699" s="155"/>
      <c r="E699" s="156"/>
      <c r="H699" s="130"/>
      <c r="I699" s="130"/>
      <c r="J699" s="157"/>
      <c r="K699" s="158"/>
      <c r="L699" s="130"/>
      <c r="M699" s="130"/>
      <c r="O699" s="128"/>
    </row>
    <row r="700" spans="1:15" ht="12.75" x14ac:dyDescent="0.2">
      <c r="A700" s="126"/>
      <c r="B700" s="155"/>
      <c r="E700" s="156"/>
      <c r="H700" s="130"/>
      <c r="I700" s="130"/>
      <c r="J700" s="157"/>
      <c r="K700" s="158"/>
      <c r="L700" s="130"/>
      <c r="M700" s="130"/>
      <c r="O700" s="128"/>
    </row>
    <row r="701" spans="1:15" ht="12.75" x14ac:dyDescent="0.2">
      <c r="A701" s="126"/>
      <c r="B701" s="155"/>
      <c r="E701" s="156"/>
      <c r="H701" s="130"/>
      <c r="I701" s="130"/>
      <c r="J701" s="157"/>
      <c r="K701" s="158"/>
      <c r="L701" s="130"/>
      <c r="M701" s="130"/>
      <c r="O701" s="128"/>
    </row>
    <row r="702" spans="1:15" ht="12.75" x14ac:dyDescent="0.2">
      <c r="A702" s="126"/>
      <c r="B702" s="155"/>
      <c r="E702" s="156"/>
      <c r="H702" s="130"/>
      <c r="I702" s="130"/>
      <c r="J702" s="157"/>
      <c r="K702" s="158"/>
      <c r="L702" s="130"/>
      <c r="M702" s="130"/>
      <c r="O702" s="128"/>
    </row>
    <row r="703" spans="1:15" ht="12.75" x14ac:dyDescent="0.2">
      <c r="A703" s="126"/>
      <c r="B703" s="155"/>
      <c r="E703" s="156"/>
      <c r="H703" s="130"/>
      <c r="I703" s="130"/>
      <c r="J703" s="157"/>
      <c r="K703" s="158"/>
      <c r="L703" s="130"/>
      <c r="M703" s="130"/>
      <c r="O703" s="128"/>
    </row>
    <row r="704" spans="1:15" ht="12.75" x14ac:dyDescent="0.2">
      <c r="A704" s="126"/>
      <c r="B704" s="155"/>
      <c r="E704" s="156"/>
      <c r="H704" s="130"/>
      <c r="I704" s="130"/>
      <c r="J704" s="157"/>
      <c r="K704" s="158"/>
      <c r="L704" s="130"/>
      <c r="M704" s="130"/>
      <c r="O704" s="128"/>
    </row>
    <row r="705" spans="1:15" ht="12.75" x14ac:dyDescent="0.2">
      <c r="A705" s="126"/>
      <c r="B705" s="155"/>
      <c r="E705" s="156"/>
      <c r="H705" s="130"/>
      <c r="I705" s="130"/>
      <c r="J705" s="157"/>
      <c r="K705" s="158"/>
      <c r="L705" s="130"/>
      <c r="M705" s="130"/>
      <c r="O705" s="128"/>
    </row>
    <row r="706" spans="1:15" ht="12.75" x14ac:dyDescent="0.2">
      <c r="A706" s="126"/>
      <c r="B706" s="155"/>
      <c r="E706" s="156"/>
      <c r="H706" s="130"/>
      <c r="I706" s="130"/>
      <c r="J706" s="157"/>
      <c r="K706" s="158"/>
      <c r="L706" s="130"/>
      <c r="M706" s="130"/>
      <c r="O706" s="128"/>
    </row>
    <row r="707" spans="1:15" ht="12.75" x14ac:dyDescent="0.2">
      <c r="A707" s="126"/>
      <c r="B707" s="155"/>
      <c r="E707" s="156"/>
      <c r="H707" s="130"/>
      <c r="I707" s="130"/>
      <c r="J707" s="157"/>
      <c r="K707" s="158"/>
      <c r="L707" s="130"/>
      <c r="M707" s="130"/>
      <c r="O707" s="128"/>
    </row>
    <row r="708" spans="1:15" ht="12.75" x14ac:dyDescent="0.2">
      <c r="A708" s="126"/>
      <c r="B708" s="155"/>
      <c r="E708" s="156"/>
      <c r="H708" s="130"/>
      <c r="I708" s="130"/>
      <c r="J708" s="157"/>
      <c r="K708" s="158"/>
      <c r="L708" s="130"/>
      <c r="M708" s="130"/>
      <c r="O708" s="128"/>
    </row>
    <row r="709" spans="1:15" ht="12.75" x14ac:dyDescent="0.2">
      <c r="A709" s="126"/>
      <c r="B709" s="155"/>
      <c r="E709" s="156"/>
      <c r="H709" s="130"/>
      <c r="I709" s="130"/>
      <c r="J709" s="157"/>
      <c r="K709" s="158"/>
      <c r="L709" s="130"/>
      <c r="M709" s="130"/>
      <c r="O709" s="128"/>
    </row>
    <row r="710" spans="1:15" ht="12.75" x14ac:dyDescent="0.2">
      <c r="A710" s="126"/>
      <c r="B710" s="155"/>
      <c r="E710" s="156"/>
      <c r="H710" s="130"/>
      <c r="I710" s="130"/>
      <c r="J710" s="157"/>
      <c r="K710" s="158"/>
      <c r="L710" s="130"/>
      <c r="M710" s="130"/>
      <c r="O710" s="128"/>
    </row>
    <row r="711" spans="1:15" ht="12.75" x14ac:dyDescent="0.2">
      <c r="A711" s="126"/>
      <c r="B711" s="155"/>
      <c r="E711" s="156"/>
      <c r="H711" s="130"/>
      <c r="I711" s="130"/>
      <c r="J711" s="157"/>
      <c r="K711" s="158"/>
      <c r="L711" s="130"/>
      <c r="M711" s="130"/>
      <c r="O711" s="128"/>
    </row>
    <row r="712" spans="1:15" ht="12.75" x14ac:dyDescent="0.2">
      <c r="A712" s="126"/>
      <c r="B712" s="155"/>
      <c r="E712" s="156"/>
      <c r="H712" s="130"/>
      <c r="I712" s="130"/>
      <c r="J712" s="157"/>
      <c r="K712" s="158"/>
      <c r="L712" s="130"/>
      <c r="M712" s="130"/>
      <c r="O712" s="128"/>
    </row>
    <row r="713" spans="1:15" ht="12.75" x14ac:dyDescent="0.2">
      <c r="A713" s="126"/>
      <c r="B713" s="155"/>
      <c r="E713" s="156"/>
      <c r="H713" s="130"/>
      <c r="I713" s="130"/>
      <c r="J713" s="157"/>
      <c r="K713" s="158"/>
      <c r="L713" s="130"/>
      <c r="M713" s="130"/>
      <c r="O713" s="128"/>
    </row>
    <row r="714" spans="1:15" ht="12.75" x14ac:dyDescent="0.2">
      <c r="A714" s="126"/>
      <c r="B714" s="155"/>
      <c r="E714" s="156"/>
      <c r="H714" s="130"/>
      <c r="I714" s="130"/>
      <c r="J714" s="157"/>
      <c r="K714" s="158"/>
      <c r="L714" s="130"/>
      <c r="M714" s="130"/>
      <c r="O714" s="128"/>
    </row>
    <row r="715" spans="1:15" ht="12.75" x14ac:dyDescent="0.2">
      <c r="A715" s="126"/>
      <c r="B715" s="155"/>
      <c r="E715" s="156"/>
      <c r="H715" s="130"/>
      <c r="I715" s="130"/>
      <c r="J715" s="157"/>
      <c r="K715" s="158"/>
      <c r="L715" s="130"/>
      <c r="M715" s="130"/>
      <c r="O715" s="128"/>
    </row>
    <row r="716" spans="1:15" ht="12.75" x14ac:dyDescent="0.2">
      <c r="A716" s="126"/>
      <c r="B716" s="155"/>
      <c r="E716" s="156"/>
      <c r="H716" s="130"/>
      <c r="I716" s="130"/>
      <c r="J716" s="157"/>
      <c r="K716" s="158"/>
      <c r="L716" s="130"/>
      <c r="M716" s="130"/>
      <c r="O716" s="128"/>
    </row>
    <row r="717" spans="1:15" ht="12.75" x14ac:dyDescent="0.2">
      <c r="A717" s="126"/>
      <c r="B717" s="155"/>
      <c r="E717" s="156"/>
      <c r="H717" s="130"/>
      <c r="I717" s="130"/>
      <c r="J717" s="157"/>
      <c r="K717" s="158"/>
      <c r="L717" s="130"/>
      <c r="M717" s="130"/>
      <c r="O717" s="128"/>
    </row>
    <row r="718" spans="1:15" ht="12.75" x14ac:dyDescent="0.2">
      <c r="A718" s="126"/>
      <c r="B718" s="155"/>
      <c r="E718" s="156"/>
      <c r="H718" s="130"/>
      <c r="I718" s="130"/>
      <c r="J718" s="157"/>
      <c r="K718" s="158"/>
      <c r="L718" s="130"/>
      <c r="M718" s="130"/>
      <c r="O718" s="128"/>
    </row>
    <row r="719" spans="1:15" ht="12.75" x14ac:dyDescent="0.2">
      <c r="A719" s="126"/>
      <c r="B719" s="155"/>
      <c r="E719" s="156"/>
      <c r="H719" s="130"/>
      <c r="I719" s="130"/>
      <c r="J719" s="157"/>
      <c r="K719" s="158"/>
      <c r="L719" s="130"/>
      <c r="M719" s="130"/>
      <c r="O719" s="128"/>
    </row>
    <row r="720" spans="1:15" ht="12.75" x14ac:dyDescent="0.2">
      <c r="A720" s="126"/>
      <c r="B720" s="155"/>
      <c r="E720" s="156"/>
      <c r="H720" s="130"/>
      <c r="I720" s="130"/>
      <c r="J720" s="157"/>
      <c r="K720" s="158"/>
      <c r="L720" s="130"/>
      <c r="M720" s="130"/>
      <c r="O720" s="128"/>
    </row>
    <row r="721" spans="1:15" ht="12.75" x14ac:dyDescent="0.2">
      <c r="A721" s="126"/>
      <c r="B721" s="155"/>
      <c r="E721" s="156"/>
      <c r="H721" s="130"/>
      <c r="I721" s="130"/>
      <c r="J721" s="157"/>
      <c r="K721" s="158"/>
      <c r="L721" s="130"/>
      <c r="M721" s="130"/>
      <c r="O721" s="128"/>
    </row>
    <row r="722" spans="1:15" ht="12.75" x14ac:dyDescent="0.2">
      <c r="A722" s="126"/>
      <c r="B722" s="155"/>
      <c r="E722" s="156"/>
      <c r="H722" s="130"/>
      <c r="I722" s="130"/>
      <c r="J722" s="157"/>
      <c r="K722" s="158"/>
      <c r="L722" s="130"/>
      <c r="M722" s="130"/>
      <c r="O722" s="128"/>
    </row>
    <row r="723" spans="1:15" ht="12.75" x14ac:dyDescent="0.2">
      <c r="A723" s="126"/>
      <c r="B723" s="155"/>
      <c r="E723" s="156"/>
      <c r="H723" s="130"/>
      <c r="I723" s="130"/>
      <c r="J723" s="157"/>
      <c r="K723" s="158"/>
      <c r="L723" s="130"/>
      <c r="M723" s="130"/>
      <c r="O723" s="128"/>
    </row>
    <row r="724" spans="1:15" ht="12.75" x14ac:dyDescent="0.2">
      <c r="A724" s="126"/>
      <c r="B724" s="155"/>
      <c r="E724" s="156"/>
      <c r="H724" s="130"/>
      <c r="I724" s="130"/>
      <c r="J724" s="157"/>
      <c r="K724" s="158"/>
      <c r="L724" s="130"/>
      <c r="M724" s="130"/>
      <c r="O724" s="128"/>
    </row>
    <row r="725" spans="1:15" ht="12.75" x14ac:dyDescent="0.2">
      <c r="A725" s="126"/>
      <c r="B725" s="155"/>
      <c r="E725" s="156"/>
      <c r="H725" s="130"/>
      <c r="I725" s="130"/>
      <c r="J725" s="157"/>
      <c r="K725" s="158"/>
      <c r="L725" s="130"/>
      <c r="M725" s="130"/>
      <c r="O725" s="128"/>
    </row>
    <row r="726" spans="1:15" ht="12.75" x14ac:dyDescent="0.2">
      <c r="A726" s="126"/>
      <c r="B726" s="155"/>
      <c r="E726" s="156"/>
      <c r="H726" s="130"/>
      <c r="I726" s="130"/>
      <c r="J726" s="157"/>
      <c r="K726" s="158"/>
      <c r="L726" s="130"/>
      <c r="M726" s="130"/>
      <c r="O726" s="128"/>
    </row>
    <row r="727" spans="1:15" ht="12.75" x14ac:dyDescent="0.2">
      <c r="A727" s="126"/>
      <c r="B727" s="155"/>
      <c r="E727" s="156"/>
      <c r="H727" s="130"/>
      <c r="I727" s="130"/>
      <c r="J727" s="157"/>
      <c r="K727" s="158"/>
      <c r="L727" s="130"/>
      <c r="M727" s="130"/>
      <c r="O727" s="128"/>
    </row>
    <row r="728" spans="1:15" ht="12.75" x14ac:dyDescent="0.2">
      <c r="A728" s="126"/>
      <c r="B728" s="155"/>
      <c r="E728" s="156"/>
      <c r="H728" s="130"/>
      <c r="I728" s="130"/>
      <c r="J728" s="157"/>
      <c r="K728" s="158"/>
      <c r="L728" s="130"/>
      <c r="M728" s="130"/>
      <c r="O728" s="128"/>
    </row>
    <row r="729" spans="1:15" ht="12.75" x14ac:dyDescent="0.2">
      <c r="A729" s="126"/>
      <c r="B729" s="155"/>
      <c r="E729" s="156"/>
      <c r="H729" s="130"/>
      <c r="I729" s="130"/>
      <c r="J729" s="157"/>
      <c r="K729" s="158"/>
      <c r="L729" s="130"/>
      <c r="M729" s="130"/>
      <c r="O729" s="128"/>
    </row>
    <row r="730" spans="1:15" ht="12.75" x14ac:dyDescent="0.2">
      <c r="A730" s="126"/>
      <c r="B730" s="155"/>
      <c r="E730" s="156"/>
      <c r="H730" s="130"/>
      <c r="I730" s="130"/>
      <c r="J730" s="157"/>
      <c r="K730" s="158"/>
      <c r="L730" s="130"/>
      <c r="M730" s="130"/>
      <c r="O730" s="128"/>
    </row>
    <row r="731" spans="1:15" ht="12.75" x14ac:dyDescent="0.2">
      <c r="A731" s="126"/>
      <c r="B731" s="155"/>
      <c r="E731" s="156"/>
      <c r="H731" s="130"/>
      <c r="I731" s="130"/>
      <c r="J731" s="157"/>
      <c r="K731" s="158"/>
      <c r="L731" s="130"/>
      <c r="M731" s="130"/>
      <c r="O731" s="128"/>
    </row>
    <row r="732" spans="1:15" ht="12.75" x14ac:dyDescent="0.2">
      <c r="A732" s="126"/>
      <c r="B732" s="155"/>
      <c r="E732" s="156"/>
      <c r="H732" s="130"/>
      <c r="I732" s="130"/>
      <c r="J732" s="157"/>
      <c r="K732" s="158"/>
      <c r="L732" s="130"/>
      <c r="M732" s="130"/>
      <c r="O732" s="128"/>
    </row>
    <row r="733" spans="1:15" ht="12.75" x14ac:dyDescent="0.2">
      <c r="A733" s="126"/>
      <c r="B733" s="155"/>
      <c r="E733" s="156"/>
      <c r="H733" s="130"/>
      <c r="I733" s="130"/>
      <c r="J733" s="157"/>
      <c r="K733" s="158"/>
      <c r="L733" s="130"/>
      <c r="M733" s="130"/>
      <c r="O733" s="128"/>
    </row>
    <row r="734" spans="1:15" ht="12.75" x14ac:dyDescent="0.2">
      <c r="A734" s="126"/>
      <c r="B734" s="155"/>
      <c r="E734" s="156"/>
      <c r="H734" s="130"/>
      <c r="I734" s="130"/>
      <c r="J734" s="157"/>
      <c r="K734" s="158"/>
      <c r="L734" s="130"/>
      <c r="M734" s="130"/>
      <c r="O734" s="128"/>
    </row>
    <row r="735" spans="1:15" ht="12.75" x14ac:dyDescent="0.2">
      <c r="A735" s="126"/>
      <c r="B735" s="155"/>
      <c r="E735" s="156"/>
      <c r="H735" s="130"/>
      <c r="I735" s="130"/>
      <c r="J735" s="157"/>
      <c r="K735" s="158"/>
      <c r="L735" s="130"/>
      <c r="M735" s="130"/>
      <c r="O735" s="128"/>
    </row>
    <row r="736" spans="1:15" ht="12.75" x14ac:dyDescent="0.2">
      <c r="A736" s="126"/>
      <c r="B736" s="155"/>
      <c r="E736" s="156"/>
      <c r="H736" s="130"/>
      <c r="I736" s="130"/>
      <c r="J736" s="157"/>
      <c r="K736" s="158"/>
      <c r="L736" s="130"/>
      <c r="M736" s="130"/>
      <c r="O736" s="128"/>
    </row>
    <row r="737" spans="1:15" ht="12.75" x14ac:dyDescent="0.2">
      <c r="A737" s="126"/>
      <c r="B737" s="155"/>
      <c r="E737" s="156"/>
      <c r="H737" s="130"/>
      <c r="I737" s="130"/>
      <c r="J737" s="157"/>
      <c r="K737" s="158"/>
      <c r="L737" s="130"/>
      <c r="M737" s="130"/>
      <c r="O737" s="128"/>
    </row>
    <row r="738" spans="1:15" ht="12.75" x14ac:dyDescent="0.2">
      <c r="A738" s="126"/>
      <c r="B738" s="155"/>
      <c r="E738" s="156"/>
      <c r="H738" s="130"/>
      <c r="I738" s="130"/>
      <c r="J738" s="157"/>
      <c r="K738" s="158"/>
      <c r="L738" s="130"/>
      <c r="M738" s="130"/>
      <c r="O738" s="128"/>
    </row>
    <row r="739" spans="1:15" ht="12.75" x14ac:dyDescent="0.2">
      <c r="A739" s="126"/>
      <c r="B739" s="155"/>
      <c r="E739" s="156"/>
      <c r="H739" s="130"/>
      <c r="I739" s="130"/>
      <c r="J739" s="157"/>
      <c r="K739" s="158"/>
      <c r="L739" s="130"/>
      <c r="M739" s="130"/>
      <c r="O739" s="128"/>
    </row>
    <row r="740" spans="1:15" ht="12.75" x14ac:dyDescent="0.2">
      <c r="A740" s="126"/>
      <c r="B740" s="155"/>
      <c r="E740" s="156"/>
      <c r="H740" s="130"/>
      <c r="I740" s="130"/>
      <c r="J740" s="157"/>
      <c r="K740" s="158"/>
      <c r="L740" s="130"/>
      <c r="M740" s="130"/>
      <c r="O740" s="128"/>
    </row>
    <row r="741" spans="1:15" ht="12.75" x14ac:dyDescent="0.2">
      <c r="A741" s="126"/>
      <c r="B741" s="155"/>
      <c r="E741" s="156"/>
      <c r="H741" s="130"/>
      <c r="I741" s="130"/>
      <c r="J741" s="157"/>
      <c r="K741" s="158"/>
      <c r="L741" s="130"/>
      <c r="M741" s="130"/>
      <c r="O741" s="128"/>
    </row>
    <row r="742" spans="1:15" ht="12.75" x14ac:dyDescent="0.2">
      <c r="A742" s="126"/>
      <c r="B742" s="155"/>
      <c r="E742" s="156"/>
      <c r="H742" s="130"/>
      <c r="I742" s="130"/>
      <c r="J742" s="157"/>
      <c r="K742" s="158"/>
      <c r="L742" s="130"/>
      <c r="M742" s="130"/>
      <c r="O742" s="128"/>
    </row>
    <row r="743" spans="1:15" ht="12.75" x14ac:dyDescent="0.2">
      <c r="A743" s="126"/>
      <c r="B743" s="155"/>
      <c r="E743" s="156"/>
      <c r="H743" s="130"/>
      <c r="I743" s="130"/>
      <c r="J743" s="157"/>
      <c r="K743" s="158"/>
      <c r="L743" s="130"/>
      <c r="M743" s="130"/>
      <c r="O743" s="128"/>
    </row>
    <row r="744" spans="1:15" ht="12.75" x14ac:dyDescent="0.2">
      <c r="A744" s="126"/>
      <c r="B744" s="155"/>
      <c r="E744" s="156"/>
      <c r="H744" s="130"/>
      <c r="I744" s="130"/>
      <c r="J744" s="157"/>
      <c r="K744" s="158"/>
      <c r="L744" s="130"/>
      <c r="M744" s="130"/>
      <c r="O744" s="128"/>
    </row>
    <row r="745" spans="1:15" ht="12.75" x14ac:dyDescent="0.2">
      <c r="A745" s="126"/>
      <c r="B745" s="155"/>
      <c r="E745" s="156"/>
      <c r="H745" s="130"/>
      <c r="I745" s="130"/>
      <c r="J745" s="157"/>
      <c r="K745" s="158"/>
      <c r="L745" s="130"/>
      <c r="M745" s="130"/>
      <c r="O745" s="128"/>
    </row>
    <row r="746" spans="1:15" ht="12.75" x14ac:dyDescent="0.2">
      <c r="A746" s="126"/>
      <c r="B746" s="155"/>
      <c r="E746" s="156"/>
      <c r="H746" s="130"/>
      <c r="I746" s="130"/>
      <c r="J746" s="157"/>
      <c r="K746" s="158"/>
      <c r="L746" s="130"/>
      <c r="M746" s="130"/>
      <c r="O746" s="128"/>
    </row>
    <row r="747" spans="1:15" ht="12.75" x14ac:dyDescent="0.2">
      <c r="A747" s="126"/>
      <c r="B747" s="155"/>
      <c r="E747" s="156"/>
      <c r="H747" s="130"/>
      <c r="I747" s="130"/>
      <c r="J747" s="157"/>
      <c r="K747" s="158"/>
      <c r="L747" s="130"/>
      <c r="M747" s="130"/>
      <c r="O747" s="128"/>
    </row>
    <row r="748" spans="1:15" ht="12.75" x14ac:dyDescent="0.2">
      <c r="A748" s="126"/>
      <c r="B748" s="155"/>
      <c r="E748" s="156"/>
      <c r="H748" s="130"/>
      <c r="I748" s="130"/>
      <c r="J748" s="157"/>
      <c r="K748" s="158"/>
      <c r="L748" s="130"/>
      <c r="M748" s="130"/>
      <c r="O748" s="128"/>
    </row>
    <row r="749" spans="1:15" ht="12.75" x14ac:dyDescent="0.2">
      <c r="A749" s="126"/>
      <c r="B749" s="155"/>
      <c r="E749" s="156"/>
      <c r="H749" s="130"/>
      <c r="I749" s="130"/>
      <c r="J749" s="157"/>
      <c r="K749" s="158"/>
      <c r="L749" s="130"/>
      <c r="M749" s="130"/>
      <c r="O749" s="128"/>
    </row>
    <row r="750" spans="1:15" ht="12.75" x14ac:dyDescent="0.2">
      <c r="A750" s="126"/>
      <c r="B750" s="155"/>
      <c r="E750" s="156"/>
      <c r="H750" s="130"/>
      <c r="I750" s="130"/>
      <c r="J750" s="157"/>
      <c r="K750" s="158"/>
      <c r="L750" s="130"/>
      <c r="M750" s="130"/>
      <c r="O750" s="128"/>
    </row>
    <row r="751" spans="1:15" ht="12.75" x14ac:dyDescent="0.2">
      <c r="A751" s="126"/>
      <c r="B751" s="155"/>
      <c r="E751" s="156"/>
      <c r="H751" s="130"/>
      <c r="I751" s="130"/>
      <c r="J751" s="157"/>
      <c r="K751" s="158"/>
      <c r="L751" s="130"/>
      <c r="M751" s="130"/>
      <c r="O751" s="128"/>
    </row>
    <row r="752" spans="1:15" ht="12.75" x14ac:dyDescent="0.2">
      <c r="A752" s="126"/>
      <c r="B752" s="155"/>
      <c r="E752" s="156"/>
      <c r="H752" s="130"/>
      <c r="I752" s="130"/>
      <c r="J752" s="157"/>
      <c r="K752" s="158"/>
      <c r="L752" s="130"/>
      <c r="M752" s="130"/>
      <c r="O752" s="128"/>
    </row>
    <row r="753" spans="1:15" ht="12.75" x14ac:dyDescent="0.2">
      <c r="A753" s="126"/>
      <c r="B753" s="155"/>
      <c r="E753" s="156"/>
      <c r="H753" s="130"/>
      <c r="I753" s="130"/>
      <c r="J753" s="157"/>
      <c r="K753" s="158"/>
      <c r="L753" s="130"/>
      <c r="M753" s="130"/>
      <c r="O753" s="128"/>
    </row>
    <row r="754" spans="1:15" ht="12.75" x14ac:dyDescent="0.2">
      <c r="A754" s="126"/>
      <c r="B754" s="155"/>
      <c r="E754" s="156"/>
      <c r="H754" s="130"/>
      <c r="I754" s="130"/>
      <c r="J754" s="157"/>
      <c r="K754" s="158"/>
      <c r="L754" s="130"/>
      <c r="M754" s="130"/>
      <c r="O754" s="128"/>
    </row>
    <row r="755" spans="1:15" ht="12.75" x14ac:dyDescent="0.2">
      <c r="A755" s="126"/>
      <c r="B755" s="155"/>
      <c r="E755" s="156"/>
      <c r="H755" s="130"/>
      <c r="I755" s="130"/>
      <c r="J755" s="157"/>
      <c r="K755" s="158"/>
      <c r="L755" s="130"/>
      <c r="M755" s="130"/>
      <c r="O755" s="128"/>
    </row>
    <row r="756" spans="1:15" ht="12.75" x14ac:dyDescent="0.2">
      <c r="A756" s="126"/>
      <c r="B756" s="155"/>
      <c r="E756" s="156"/>
      <c r="H756" s="130"/>
      <c r="I756" s="130"/>
      <c r="J756" s="157"/>
      <c r="K756" s="158"/>
      <c r="L756" s="130"/>
      <c r="M756" s="130"/>
      <c r="O756" s="128"/>
    </row>
    <row r="757" spans="1:15" ht="12.75" x14ac:dyDescent="0.2">
      <c r="A757" s="126"/>
      <c r="B757" s="155"/>
      <c r="E757" s="156"/>
      <c r="H757" s="130"/>
      <c r="I757" s="130"/>
      <c r="J757" s="157"/>
      <c r="K757" s="158"/>
      <c r="L757" s="130"/>
      <c r="M757" s="130"/>
      <c r="O757" s="128"/>
    </row>
    <row r="758" spans="1:15" ht="12.75" x14ac:dyDescent="0.2">
      <c r="A758" s="126"/>
      <c r="B758" s="155"/>
      <c r="E758" s="156"/>
      <c r="H758" s="130"/>
      <c r="I758" s="130"/>
      <c r="J758" s="157"/>
      <c r="K758" s="158"/>
      <c r="L758" s="130"/>
      <c r="M758" s="130"/>
      <c r="O758" s="128"/>
    </row>
    <row r="759" spans="1:15" ht="12.75" x14ac:dyDescent="0.2">
      <c r="A759" s="126"/>
      <c r="B759" s="155"/>
      <c r="E759" s="156"/>
      <c r="H759" s="130"/>
      <c r="I759" s="130"/>
      <c r="J759" s="157"/>
      <c r="K759" s="158"/>
      <c r="L759" s="130"/>
      <c r="M759" s="130"/>
      <c r="O759" s="128"/>
    </row>
    <row r="760" spans="1:15" ht="12.75" x14ac:dyDescent="0.2">
      <c r="A760" s="126"/>
      <c r="B760" s="155"/>
      <c r="E760" s="156"/>
      <c r="H760" s="130"/>
      <c r="I760" s="130"/>
      <c r="J760" s="157"/>
      <c r="K760" s="158"/>
      <c r="L760" s="130"/>
      <c r="M760" s="130"/>
      <c r="O760" s="128"/>
    </row>
    <row r="761" spans="1:15" ht="12.75" x14ac:dyDescent="0.2">
      <c r="A761" s="126"/>
      <c r="B761" s="155"/>
      <c r="E761" s="156"/>
      <c r="H761" s="130"/>
      <c r="I761" s="130"/>
      <c r="J761" s="157"/>
      <c r="K761" s="158"/>
      <c r="L761" s="130"/>
      <c r="M761" s="130"/>
      <c r="O761" s="128"/>
    </row>
    <row r="762" spans="1:15" ht="12.75" x14ac:dyDescent="0.2">
      <c r="A762" s="126"/>
      <c r="B762" s="155"/>
      <c r="E762" s="156"/>
      <c r="H762" s="130"/>
      <c r="I762" s="130"/>
      <c r="J762" s="157"/>
      <c r="K762" s="158"/>
      <c r="L762" s="130"/>
      <c r="M762" s="130"/>
      <c r="O762" s="128"/>
    </row>
    <row r="763" spans="1:15" ht="12.75" x14ac:dyDescent="0.2">
      <c r="A763" s="126"/>
      <c r="B763" s="155"/>
      <c r="E763" s="156"/>
      <c r="H763" s="130"/>
      <c r="I763" s="130"/>
      <c r="J763" s="157"/>
      <c r="K763" s="158"/>
      <c r="L763" s="130"/>
      <c r="M763" s="130"/>
      <c r="O763" s="128"/>
    </row>
    <row r="764" spans="1:15" ht="12.75" x14ac:dyDescent="0.2">
      <c r="A764" s="126"/>
      <c r="B764" s="155"/>
      <c r="E764" s="156"/>
      <c r="H764" s="130"/>
      <c r="I764" s="130"/>
      <c r="J764" s="157"/>
      <c r="K764" s="158"/>
      <c r="L764" s="130"/>
      <c r="M764" s="130"/>
      <c r="O764" s="128"/>
    </row>
    <row r="765" spans="1:15" ht="12.75" x14ac:dyDescent="0.2">
      <c r="A765" s="126"/>
      <c r="B765" s="155"/>
      <c r="E765" s="156"/>
      <c r="H765" s="130"/>
      <c r="I765" s="130"/>
      <c r="J765" s="157"/>
      <c r="K765" s="158"/>
      <c r="L765" s="130"/>
      <c r="M765" s="130"/>
      <c r="O765" s="128"/>
    </row>
    <row r="766" spans="1:15" ht="12.75" x14ac:dyDescent="0.2">
      <c r="A766" s="126"/>
      <c r="B766" s="155"/>
      <c r="E766" s="156"/>
      <c r="H766" s="130"/>
      <c r="I766" s="130"/>
      <c r="J766" s="157"/>
      <c r="K766" s="158"/>
      <c r="L766" s="130"/>
      <c r="M766" s="130"/>
      <c r="O766" s="128"/>
    </row>
    <row r="767" spans="1:15" ht="12.75" x14ac:dyDescent="0.2">
      <c r="A767" s="126"/>
      <c r="B767" s="155"/>
      <c r="E767" s="156"/>
      <c r="H767" s="130"/>
      <c r="I767" s="130"/>
      <c r="J767" s="157"/>
      <c r="K767" s="158"/>
      <c r="L767" s="130"/>
      <c r="M767" s="130"/>
      <c r="O767" s="128"/>
    </row>
    <row r="768" spans="1:15" ht="12.75" x14ac:dyDescent="0.2">
      <c r="A768" s="126"/>
      <c r="B768" s="155"/>
      <c r="E768" s="156"/>
      <c r="H768" s="130"/>
      <c r="I768" s="130"/>
      <c r="J768" s="157"/>
      <c r="K768" s="158"/>
      <c r="L768" s="130"/>
      <c r="M768" s="130"/>
      <c r="O768" s="128"/>
    </row>
    <row r="769" spans="1:15" ht="12.75" x14ac:dyDescent="0.2">
      <c r="A769" s="126"/>
      <c r="B769" s="155"/>
      <c r="E769" s="156"/>
      <c r="H769" s="130"/>
      <c r="I769" s="130"/>
      <c r="J769" s="157"/>
      <c r="K769" s="158"/>
      <c r="L769" s="130"/>
      <c r="M769" s="130"/>
      <c r="O769" s="128"/>
    </row>
    <row r="770" spans="1:15" ht="12.75" x14ac:dyDescent="0.2">
      <c r="A770" s="126"/>
      <c r="B770" s="155"/>
      <c r="E770" s="156"/>
      <c r="H770" s="130"/>
      <c r="I770" s="130"/>
      <c r="J770" s="157"/>
      <c r="K770" s="158"/>
      <c r="L770" s="130"/>
      <c r="M770" s="130"/>
      <c r="O770" s="128"/>
    </row>
    <row r="771" spans="1:15" ht="12.75" x14ac:dyDescent="0.2">
      <c r="A771" s="126"/>
      <c r="B771" s="155"/>
      <c r="E771" s="156"/>
      <c r="H771" s="130"/>
      <c r="I771" s="130"/>
      <c r="J771" s="157"/>
      <c r="K771" s="158"/>
      <c r="L771" s="130"/>
      <c r="M771" s="130"/>
      <c r="O771" s="128"/>
    </row>
    <row r="772" spans="1:15" ht="12.75" x14ac:dyDescent="0.2">
      <c r="A772" s="126"/>
      <c r="B772" s="155"/>
      <c r="E772" s="156"/>
      <c r="H772" s="130"/>
      <c r="I772" s="130"/>
      <c r="J772" s="157"/>
      <c r="K772" s="158"/>
      <c r="L772" s="130"/>
      <c r="M772" s="130"/>
      <c r="O772" s="128"/>
    </row>
    <row r="773" spans="1:15" ht="12.75" x14ac:dyDescent="0.2">
      <c r="A773" s="126"/>
      <c r="B773" s="155"/>
      <c r="E773" s="156"/>
      <c r="H773" s="130"/>
      <c r="I773" s="130"/>
      <c r="J773" s="157"/>
      <c r="K773" s="158"/>
      <c r="L773" s="130"/>
      <c r="M773" s="130"/>
      <c r="O773" s="128"/>
    </row>
    <row r="774" spans="1:15" ht="12.75" x14ac:dyDescent="0.2">
      <c r="A774" s="126"/>
      <c r="B774" s="155"/>
      <c r="E774" s="156"/>
      <c r="H774" s="130"/>
      <c r="I774" s="130"/>
      <c r="J774" s="157"/>
      <c r="K774" s="158"/>
      <c r="L774" s="130"/>
      <c r="M774" s="130"/>
      <c r="O774" s="128"/>
    </row>
    <row r="775" spans="1:15" ht="12.75" x14ac:dyDescent="0.2">
      <c r="A775" s="126"/>
      <c r="B775" s="155"/>
      <c r="E775" s="156"/>
      <c r="H775" s="130"/>
      <c r="I775" s="130"/>
      <c r="J775" s="157"/>
      <c r="K775" s="158"/>
      <c r="L775" s="130"/>
      <c r="M775" s="130"/>
      <c r="O775" s="128"/>
    </row>
    <row r="776" spans="1:15" ht="12.75" x14ac:dyDescent="0.2">
      <c r="A776" s="126"/>
      <c r="B776" s="155"/>
      <c r="E776" s="156"/>
      <c r="H776" s="130"/>
      <c r="I776" s="130"/>
      <c r="J776" s="157"/>
      <c r="K776" s="158"/>
      <c r="L776" s="130"/>
      <c r="M776" s="130"/>
      <c r="O776" s="128"/>
    </row>
    <row r="777" spans="1:15" ht="12.75" x14ac:dyDescent="0.2">
      <c r="A777" s="126"/>
      <c r="B777" s="155"/>
      <c r="E777" s="156"/>
      <c r="H777" s="130"/>
      <c r="I777" s="130"/>
      <c r="J777" s="157"/>
      <c r="K777" s="158"/>
      <c r="L777" s="130"/>
      <c r="M777" s="130"/>
      <c r="O777" s="128"/>
    </row>
    <row r="778" spans="1:15" ht="12.75" x14ac:dyDescent="0.2">
      <c r="A778" s="126"/>
      <c r="B778" s="155"/>
      <c r="E778" s="156"/>
      <c r="H778" s="130"/>
      <c r="I778" s="130"/>
      <c r="J778" s="157"/>
      <c r="K778" s="158"/>
      <c r="L778" s="130"/>
      <c r="M778" s="130"/>
      <c r="O778" s="128"/>
    </row>
    <row r="779" spans="1:15" ht="12.75" x14ac:dyDescent="0.2">
      <c r="A779" s="126"/>
      <c r="B779" s="155"/>
      <c r="E779" s="156"/>
      <c r="H779" s="130"/>
      <c r="I779" s="130"/>
      <c r="J779" s="157"/>
      <c r="K779" s="158"/>
      <c r="L779" s="130"/>
      <c r="M779" s="130"/>
      <c r="O779" s="128"/>
    </row>
    <row r="780" spans="1:15" ht="12.75" x14ac:dyDescent="0.2">
      <c r="A780" s="126"/>
      <c r="B780" s="155"/>
      <c r="E780" s="156"/>
      <c r="H780" s="130"/>
      <c r="I780" s="130"/>
      <c r="J780" s="157"/>
      <c r="K780" s="158"/>
      <c r="L780" s="130"/>
      <c r="M780" s="130"/>
      <c r="O780" s="128"/>
    </row>
    <row r="781" spans="1:15" ht="12.75" x14ac:dyDescent="0.2">
      <c r="A781" s="126"/>
      <c r="B781" s="155"/>
      <c r="E781" s="156"/>
      <c r="H781" s="130"/>
      <c r="I781" s="130"/>
      <c r="J781" s="157"/>
      <c r="K781" s="158"/>
      <c r="L781" s="130"/>
      <c r="M781" s="130"/>
      <c r="O781" s="128"/>
    </row>
    <row r="782" spans="1:15" ht="12.75" x14ac:dyDescent="0.2">
      <c r="A782" s="126"/>
      <c r="B782" s="155"/>
      <c r="E782" s="156"/>
      <c r="H782" s="130"/>
      <c r="I782" s="130"/>
      <c r="J782" s="157"/>
      <c r="K782" s="158"/>
      <c r="L782" s="130"/>
      <c r="M782" s="130"/>
      <c r="O782" s="128"/>
    </row>
    <row r="783" spans="1:15" ht="12.75" x14ac:dyDescent="0.2">
      <c r="A783" s="126"/>
      <c r="B783" s="155"/>
      <c r="E783" s="156"/>
      <c r="H783" s="130"/>
      <c r="I783" s="130"/>
      <c r="J783" s="157"/>
      <c r="K783" s="158"/>
      <c r="L783" s="130"/>
      <c r="M783" s="130"/>
      <c r="O783" s="128"/>
    </row>
    <row r="784" spans="1:15" ht="12.75" x14ac:dyDescent="0.2">
      <c r="A784" s="126"/>
      <c r="B784" s="155"/>
      <c r="E784" s="156"/>
      <c r="H784" s="130"/>
      <c r="I784" s="130"/>
      <c r="J784" s="157"/>
      <c r="K784" s="158"/>
      <c r="L784" s="130"/>
      <c r="M784" s="130"/>
      <c r="O784" s="128"/>
    </row>
    <row r="785" spans="1:15" ht="12.75" x14ac:dyDescent="0.2">
      <c r="A785" s="126"/>
      <c r="B785" s="155"/>
      <c r="E785" s="156"/>
      <c r="H785" s="130"/>
      <c r="I785" s="130"/>
      <c r="J785" s="157"/>
      <c r="K785" s="158"/>
      <c r="L785" s="130"/>
      <c r="M785" s="130"/>
      <c r="O785" s="128"/>
    </row>
    <row r="786" spans="1:15" ht="12.75" x14ac:dyDescent="0.2">
      <c r="A786" s="126"/>
      <c r="B786" s="155"/>
      <c r="E786" s="156"/>
      <c r="H786" s="130"/>
      <c r="I786" s="130"/>
      <c r="J786" s="157"/>
      <c r="K786" s="158"/>
      <c r="L786" s="130"/>
      <c r="M786" s="130"/>
      <c r="O786" s="128"/>
    </row>
    <row r="787" spans="1:15" ht="12.75" x14ac:dyDescent="0.2">
      <c r="A787" s="126"/>
      <c r="B787" s="155"/>
      <c r="E787" s="156"/>
      <c r="H787" s="130"/>
      <c r="I787" s="130"/>
      <c r="J787" s="157"/>
      <c r="K787" s="158"/>
      <c r="L787" s="130"/>
      <c r="M787" s="130"/>
      <c r="O787" s="128"/>
    </row>
    <row r="788" spans="1:15" ht="12.75" x14ac:dyDescent="0.2">
      <c r="A788" s="126"/>
      <c r="B788" s="155"/>
      <c r="E788" s="156"/>
      <c r="H788" s="130"/>
      <c r="I788" s="130"/>
      <c r="J788" s="157"/>
      <c r="K788" s="158"/>
      <c r="L788" s="130"/>
      <c r="M788" s="130"/>
      <c r="O788" s="128"/>
    </row>
    <row r="789" spans="1:15" ht="12.75" x14ac:dyDescent="0.2">
      <c r="A789" s="126"/>
      <c r="B789" s="155"/>
      <c r="E789" s="156"/>
      <c r="H789" s="130"/>
      <c r="I789" s="130"/>
      <c r="J789" s="157"/>
      <c r="K789" s="158"/>
      <c r="L789" s="130"/>
      <c r="M789" s="130"/>
      <c r="O789" s="128"/>
    </row>
    <row r="790" spans="1:15" ht="12.75" x14ac:dyDescent="0.2">
      <c r="A790" s="126"/>
      <c r="B790" s="155"/>
      <c r="E790" s="156"/>
      <c r="H790" s="130"/>
      <c r="I790" s="130"/>
      <c r="J790" s="157"/>
      <c r="K790" s="158"/>
      <c r="L790" s="130"/>
      <c r="M790" s="130"/>
      <c r="O790" s="128"/>
    </row>
    <row r="791" spans="1:15" ht="12.75" x14ac:dyDescent="0.2">
      <c r="A791" s="126"/>
      <c r="B791" s="155"/>
      <c r="E791" s="156"/>
      <c r="H791" s="130"/>
      <c r="I791" s="130"/>
      <c r="J791" s="157"/>
      <c r="K791" s="158"/>
      <c r="L791" s="130"/>
      <c r="M791" s="130"/>
      <c r="O791" s="128"/>
    </row>
    <row r="792" spans="1:15" ht="12.75" x14ac:dyDescent="0.2">
      <c r="A792" s="126"/>
      <c r="B792" s="155"/>
      <c r="E792" s="156"/>
      <c r="H792" s="130"/>
      <c r="I792" s="130"/>
      <c r="J792" s="157"/>
      <c r="K792" s="158"/>
      <c r="L792" s="130"/>
      <c r="M792" s="130"/>
      <c r="O792" s="128"/>
    </row>
    <row r="793" spans="1:15" ht="12.75" x14ac:dyDescent="0.2">
      <c r="A793" s="126"/>
      <c r="B793" s="155"/>
      <c r="E793" s="156"/>
      <c r="H793" s="130"/>
      <c r="I793" s="130"/>
      <c r="J793" s="157"/>
      <c r="K793" s="158"/>
      <c r="L793" s="130"/>
      <c r="M793" s="130"/>
      <c r="O793" s="128"/>
    </row>
    <row r="794" spans="1:15" ht="12.75" x14ac:dyDescent="0.2">
      <c r="A794" s="126"/>
      <c r="B794" s="155"/>
      <c r="E794" s="156"/>
      <c r="H794" s="130"/>
      <c r="I794" s="130"/>
      <c r="J794" s="157"/>
      <c r="K794" s="158"/>
      <c r="L794" s="130"/>
      <c r="M794" s="130"/>
      <c r="O794" s="128"/>
    </row>
    <row r="795" spans="1:15" ht="12.75" x14ac:dyDescent="0.2">
      <c r="A795" s="126"/>
      <c r="B795" s="155"/>
      <c r="E795" s="156"/>
      <c r="H795" s="130"/>
      <c r="I795" s="130"/>
      <c r="J795" s="157"/>
      <c r="K795" s="158"/>
      <c r="L795" s="130"/>
      <c r="M795" s="130"/>
      <c r="O795" s="128"/>
    </row>
    <row r="796" spans="1:15" ht="12.75" x14ac:dyDescent="0.2">
      <c r="A796" s="126"/>
      <c r="B796" s="155"/>
      <c r="E796" s="156"/>
      <c r="H796" s="130"/>
      <c r="I796" s="130"/>
      <c r="J796" s="157"/>
      <c r="K796" s="158"/>
      <c r="L796" s="130"/>
      <c r="M796" s="130"/>
      <c r="O796" s="128"/>
    </row>
    <row r="797" spans="1:15" ht="12.75" x14ac:dyDescent="0.2">
      <c r="A797" s="126"/>
      <c r="B797" s="155"/>
      <c r="E797" s="156"/>
      <c r="H797" s="130"/>
      <c r="I797" s="130"/>
      <c r="J797" s="157"/>
      <c r="K797" s="158"/>
      <c r="L797" s="130"/>
      <c r="M797" s="130"/>
      <c r="O797" s="128"/>
    </row>
    <row r="798" spans="1:15" ht="12.75" x14ac:dyDescent="0.2">
      <c r="A798" s="126"/>
      <c r="B798" s="155"/>
      <c r="E798" s="156"/>
      <c r="H798" s="130"/>
      <c r="I798" s="130"/>
      <c r="J798" s="157"/>
      <c r="K798" s="158"/>
      <c r="L798" s="130"/>
      <c r="M798" s="130"/>
      <c r="O798" s="128"/>
    </row>
    <row r="799" spans="1:15" ht="12.75" x14ac:dyDescent="0.2">
      <c r="A799" s="126"/>
      <c r="B799" s="155"/>
      <c r="E799" s="156"/>
      <c r="H799" s="130"/>
      <c r="I799" s="130"/>
      <c r="J799" s="157"/>
      <c r="K799" s="158"/>
      <c r="L799" s="130"/>
      <c r="M799" s="130"/>
      <c r="O799" s="128"/>
    </row>
    <row r="800" spans="1:15" ht="12.75" x14ac:dyDescent="0.2">
      <c r="A800" s="126"/>
      <c r="B800" s="155"/>
      <c r="E800" s="156"/>
      <c r="H800" s="130"/>
      <c r="I800" s="130"/>
      <c r="J800" s="157"/>
      <c r="K800" s="158"/>
      <c r="L800" s="130"/>
      <c r="M800" s="130"/>
      <c r="O800" s="128"/>
    </row>
    <row r="801" spans="1:15" ht="12.75" x14ac:dyDescent="0.2">
      <c r="A801" s="126"/>
      <c r="B801" s="155"/>
      <c r="E801" s="156"/>
      <c r="H801" s="130"/>
      <c r="I801" s="130"/>
      <c r="J801" s="157"/>
      <c r="K801" s="158"/>
      <c r="L801" s="130"/>
      <c r="M801" s="130"/>
      <c r="O801" s="128"/>
    </row>
    <row r="802" spans="1:15" ht="12.75" x14ac:dyDescent="0.2">
      <c r="A802" s="126"/>
      <c r="B802" s="155"/>
      <c r="E802" s="156"/>
      <c r="H802" s="130"/>
      <c r="I802" s="130"/>
      <c r="J802" s="157"/>
      <c r="K802" s="158"/>
      <c r="L802" s="130"/>
      <c r="M802" s="130"/>
      <c r="O802" s="128"/>
    </row>
    <row r="803" spans="1:15" ht="12.75" x14ac:dyDescent="0.2">
      <c r="A803" s="126"/>
      <c r="B803" s="155"/>
      <c r="E803" s="156"/>
      <c r="H803" s="130"/>
      <c r="I803" s="130"/>
      <c r="J803" s="157"/>
      <c r="K803" s="158"/>
      <c r="L803" s="130"/>
      <c r="M803" s="130"/>
      <c r="O803" s="128"/>
    </row>
    <row r="804" spans="1:15" ht="12.75" x14ac:dyDescent="0.2">
      <c r="A804" s="126"/>
      <c r="B804" s="155"/>
      <c r="E804" s="156"/>
      <c r="H804" s="130"/>
      <c r="I804" s="130"/>
      <c r="J804" s="157"/>
      <c r="K804" s="158"/>
      <c r="L804" s="130"/>
      <c r="M804" s="130"/>
      <c r="O804" s="128"/>
    </row>
    <row r="805" spans="1:15" ht="12.75" x14ac:dyDescent="0.2">
      <c r="A805" s="126"/>
      <c r="B805" s="155"/>
      <c r="E805" s="156"/>
      <c r="H805" s="130"/>
      <c r="I805" s="130"/>
      <c r="J805" s="157"/>
      <c r="K805" s="158"/>
      <c r="L805" s="130"/>
      <c r="M805" s="130"/>
      <c r="O805" s="128"/>
    </row>
    <row r="806" spans="1:15" ht="12.75" x14ac:dyDescent="0.2">
      <c r="A806" s="126"/>
      <c r="B806" s="155"/>
      <c r="E806" s="156"/>
      <c r="H806" s="130"/>
      <c r="I806" s="130"/>
      <c r="J806" s="157"/>
      <c r="K806" s="158"/>
      <c r="L806" s="130"/>
      <c r="M806" s="130"/>
      <c r="O806" s="128"/>
    </row>
    <row r="807" spans="1:15" ht="12.75" x14ac:dyDescent="0.2">
      <c r="A807" s="126"/>
      <c r="B807" s="155"/>
      <c r="E807" s="156"/>
      <c r="H807" s="130"/>
      <c r="I807" s="130"/>
      <c r="J807" s="157"/>
      <c r="K807" s="158"/>
      <c r="L807" s="130"/>
      <c r="M807" s="130"/>
      <c r="O807" s="128"/>
    </row>
    <row r="808" spans="1:15" ht="12.75" x14ac:dyDescent="0.2">
      <c r="A808" s="126"/>
      <c r="B808" s="155"/>
      <c r="E808" s="156"/>
      <c r="H808" s="130"/>
      <c r="I808" s="130"/>
      <c r="J808" s="157"/>
      <c r="K808" s="158"/>
      <c r="L808" s="130"/>
      <c r="M808" s="130"/>
      <c r="O808" s="128"/>
    </row>
    <row r="809" spans="1:15" ht="12.75" x14ac:dyDescent="0.2">
      <c r="A809" s="126"/>
      <c r="B809" s="155"/>
      <c r="E809" s="156"/>
      <c r="H809" s="130"/>
      <c r="I809" s="130"/>
      <c r="J809" s="157"/>
      <c r="K809" s="158"/>
      <c r="L809" s="130"/>
      <c r="M809" s="130"/>
      <c r="O809" s="128"/>
    </row>
    <row r="810" spans="1:15" ht="12.75" x14ac:dyDescent="0.2">
      <c r="A810" s="126"/>
      <c r="B810" s="155"/>
      <c r="E810" s="156"/>
      <c r="H810" s="130"/>
      <c r="I810" s="130"/>
      <c r="J810" s="157"/>
      <c r="K810" s="158"/>
      <c r="L810" s="130"/>
      <c r="M810" s="130"/>
      <c r="O810" s="128"/>
    </row>
    <row r="811" spans="1:15" ht="12.75" x14ac:dyDescent="0.2">
      <c r="A811" s="126"/>
      <c r="B811" s="155"/>
      <c r="E811" s="156"/>
      <c r="H811" s="130"/>
      <c r="I811" s="130"/>
      <c r="J811" s="157"/>
      <c r="K811" s="158"/>
      <c r="L811" s="130"/>
      <c r="M811" s="130"/>
      <c r="O811" s="128"/>
    </row>
    <row r="812" spans="1:15" ht="12.75" x14ac:dyDescent="0.2">
      <c r="A812" s="126"/>
      <c r="B812" s="155"/>
      <c r="E812" s="156"/>
      <c r="H812" s="130"/>
      <c r="I812" s="130"/>
      <c r="J812" s="157"/>
      <c r="K812" s="158"/>
      <c r="L812" s="130"/>
      <c r="M812" s="130"/>
      <c r="O812" s="128"/>
    </row>
    <row r="813" spans="1:15" ht="12.75" x14ac:dyDescent="0.2">
      <c r="A813" s="126"/>
      <c r="B813" s="155"/>
      <c r="E813" s="156"/>
      <c r="H813" s="130"/>
      <c r="I813" s="130"/>
      <c r="J813" s="157"/>
      <c r="K813" s="158"/>
      <c r="L813" s="130"/>
      <c r="M813" s="130"/>
      <c r="O813" s="128"/>
    </row>
    <row r="814" spans="1:15" ht="12.75" x14ac:dyDescent="0.2">
      <c r="A814" s="126"/>
      <c r="B814" s="155"/>
      <c r="E814" s="156"/>
      <c r="H814" s="130"/>
      <c r="I814" s="130"/>
      <c r="J814" s="157"/>
      <c r="K814" s="158"/>
      <c r="L814" s="130"/>
      <c r="M814" s="130"/>
      <c r="O814" s="128"/>
    </row>
    <row r="815" spans="1:15" ht="12.75" x14ac:dyDescent="0.2">
      <c r="A815" s="126"/>
      <c r="B815" s="155"/>
      <c r="E815" s="156"/>
      <c r="H815" s="130"/>
      <c r="I815" s="130"/>
      <c r="J815" s="157"/>
      <c r="K815" s="158"/>
      <c r="L815" s="130"/>
      <c r="M815" s="130"/>
      <c r="O815" s="128"/>
    </row>
    <row r="816" spans="1:15" ht="12.75" x14ac:dyDescent="0.2">
      <c r="A816" s="126"/>
      <c r="B816" s="155"/>
      <c r="E816" s="156"/>
      <c r="H816" s="130"/>
      <c r="I816" s="130"/>
      <c r="J816" s="157"/>
      <c r="K816" s="158"/>
      <c r="L816" s="130"/>
      <c r="M816" s="130"/>
      <c r="O816" s="128"/>
    </row>
    <row r="817" spans="1:15" ht="12.75" x14ac:dyDescent="0.2">
      <c r="A817" s="126"/>
      <c r="B817" s="155"/>
      <c r="E817" s="156"/>
      <c r="H817" s="130"/>
      <c r="I817" s="130"/>
      <c r="J817" s="157"/>
      <c r="K817" s="158"/>
      <c r="L817" s="130"/>
      <c r="M817" s="130"/>
      <c r="O817" s="128"/>
    </row>
    <row r="818" spans="1:15" ht="12.75" x14ac:dyDescent="0.2">
      <c r="A818" s="126"/>
      <c r="B818" s="155"/>
      <c r="E818" s="156"/>
      <c r="H818" s="130"/>
      <c r="I818" s="130"/>
      <c r="J818" s="157"/>
      <c r="K818" s="158"/>
      <c r="L818" s="130"/>
      <c r="M818" s="130"/>
      <c r="O818" s="128"/>
    </row>
    <row r="819" spans="1:15" ht="12.75" x14ac:dyDescent="0.2">
      <c r="A819" s="126"/>
      <c r="B819" s="155"/>
      <c r="E819" s="156"/>
      <c r="H819" s="130"/>
      <c r="I819" s="130"/>
      <c r="J819" s="157"/>
      <c r="K819" s="158"/>
      <c r="L819" s="130"/>
      <c r="M819" s="130"/>
      <c r="O819" s="128"/>
    </row>
    <row r="820" spans="1:15" ht="12.75" x14ac:dyDescent="0.2">
      <c r="A820" s="126"/>
      <c r="B820" s="155"/>
      <c r="E820" s="156"/>
      <c r="H820" s="130"/>
      <c r="I820" s="130"/>
      <c r="J820" s="157"/>
      <c r="K820" s="158"/>
      <c r="L820" s="130"/>
      <c r="M820" s="130"/>
      <c r="O820" s="128"/>
    </row>
    <row r="821" spans="1:15" ht="12.75" x14ac:dyDescent="0.2">
      <c r="A821" s="126"/>
      <c r="B821" s="155"/>
      <c r="E821" s="156"/>
      <c r="H821" s="130"/>
      <c r="I821" s="130"/>
      <c r="J821" s="157"/>
      <c r="K821" s="158"/>
      <c r="L821" s="130"/>
      <c r="M821" s="130"/>
      <c r="O821" s="128"/>
    </row>
    <row r="822" spans="1:15" ht="12.75" x14ac:dyDescent="0.2">
      <c r="A822" s="126"/>
      <c r="B822" s="155"/>
      <c r="E822" s="156"/>
      <c r="H822" s="130"/>
      <c r="I822" s="130"/>
      <c r="J822" s="157"/>
      <c r="K822" s="158"/>
      <c r="L822" s="130"/>
      <c r="M822" s="130"/>
      <c r="O822" s="128"/>
    </row>
    <row r="823" spans="1:15" ht="12.75" x14ac:dyDescent="0.2">
      <c r="A823" s="126"/>
      <c r="B823" s="155"/>
      <c r="E823" s="156"/>
      <c r="H823" s="130"/>
      <c r="I823" s="130"/>
      <c r="J823" s="157"/>
      <c r="K823" s="158"/>
      <c r="L823" s="130"/>
      <c r="M823" s="130"/>
      <c r="O823" s="128"/>
    </row>
    <row r="824" spans="1:15" ht="12.75" x14ac:dyDescent="0.2">
      <c r="A824" s="126"/>
      <c r="B824" s="155"/>
      <c r="E824" s="156"/>
      <c r="H824" s="130"/>
      <c r="I824" s="130"/>
      <c r="J824" s="157"/>
      <c r="K824" s="158"/>
      <c r="L824" s="130"/>
      <c r="M824" s="130"/>
      <c r="O824" s="128"/>
    </row>
    <row r="825" spans="1:15" ht="12.75" x14ac:dyDescent="0.2">
      <c r="A825" s="126"/>
      <c r="B825" s="155"/>
      <c r="E825" s="156"/>
      <c r="H825" s="130"/>
      <c r="I825" s="130"/>
      <c r="J825" s="157"/>
      <c r="K825" s="158"/>
      <c r="L825" s="130"/>
      <c r="M825" s="130"/>
      <c r="O825" s="128"/>
    </row>
    <row r="826" spans="1:15" ht="12.75" x14ac:dyDescent="0.2">
      <c r="A826" s="126"/>
      <c r="B826" s="155"/>
      <c r="E826" s="156"/>
      <c r="H826" s="130"/>
      <c r="I826" s="130"/>
      <c r="J826" s="157"/>
      <c r="K826" s="158"/>
      <c r="L826" s="130"/>
      <c r="M826" s="130"/>
      <c r="O826" s="128"/>
    </row>
    <row r="827" spans="1:15" ht="12.75" x14ac:dyDescent="0.2">
      <c r="A827" s="126"/>
      <c r="B827" s="155"/>
      <c r="E827" s="156"/>
      <c r="H827" s="130"/>
      <c r="I827" s="130"/>
      <c r="J827" s="157"/>
      <c r="K827" s="158"/>
      <c r="L827" s="130"/>
      <c r="M827" s="130"/>
      <c r="O827" s="128"/>
    </row>
    <row r="828" spans="1:15" ht="12.75" x14ac:dyDescent="0.2">
      <c r="A828" s="126"/>
      <c r="B828" s="155"/>
      <c r="E828" s="156"/>
      <c r="H828" s="130"/>
      <c r="I828" s="130"/>
      <c r="J828" s="157"/>
      <c r="K828" s="158"/>
      <c r="L828" s="130"/>
      <c r="M828" s="130"/>
      <c r="O828" s="128"/>
    </row>
    <row r="829" spans="1:15" ht="12.75" x14ac:dyDescent="0.2">
      <c r="A829" s="126"/>
      <c r="B829" s="155"/>
      <c r="E829" s="156"/>
      <c r="H829" s="130"/>
      <c r="I829" s="130"/>
      <c r="J829" s="157"/>
      <c r="K829" s="158"/>
      <c r="L829" s="130"/>
      <c r="M829" s="130"/>
      <c r="O829" s="128"/>
    </row>
    <row r="830" spans="1:15" ht="12.75" x14ac:dyDescent="0.2">
      <c r="A830" s="126"/>
      <c r="B830" s="155"/>
      <c r="E830" s="156"/>
      <c r="H830" s="130"/>
      <c r="I830" s="130"/>
      <c r="J830" s="157"/>
      <c r="K830" s="158"/>
      <c r="L830" s="130"/>
      <c r="M830" s="130"/>
      <c r="O830" s="128"/>
    </row>
    <row r="831" spans="1:15" ht="12.75" x14ac:dyDescent="0.2">
      <c r="A831" s="126"/>
      <c r="B831" s="155"/>
      <c r="E831" s="156"/>
      <c r="H831" s="130"/>
      <c r="I831" s="130"/>
      <c r="J831" s="157"/>
      <c r="K831" s="158"/>
      <c r="L831" s="130"/>
      <c r="M831" s="130"/>
      <c r="O831" s="128"/>
    </row>
    <row r="832" spans="1:15" ht="12.75" x14ac:dyDescent="0.2">
      <c r="A832" s="126"/>
      <c r="B832" s="155"/>
      <c r="E832" s="156"/>
      <c r="H832" s="130"/>
      <c r="I832" s="130"/>
      <c r="J832" s="157"/>
      <c r="K832" s="158"/>
      <c r="L832" s="130"/>
      <c r="M832" s="130"/>
      <c r="O832" s="128"/>
    </row>
    <row r="833" spans="1:15" ht="12.75" x14ac:dyDescent="0.2">
      <c r="A833" s="126"/>
      <c r="B833" s="155"/>
      <c r="E833" s="156"/>
      <c r="H833" s="130"/>
      <c r="I833" s="130"/>
      <c r="J833" s="157"/>
      <c r="K833" s="158"/>
      <c r="L833" s="130"/>
      <c r="M833" s="130"/>
      <c r="O833" s="128"/>
    </row>
    <row r="834" spans="1:15" ht="12.75" x14ac:dyDescent="0.2">
      <c r="A834" s="126"/>
      <c r="B834" s="155"/>
      <c r="E834" s="156"/>
      <c r="H834" s="130"/>
      <c r="I834" s="130"/>
      <c r="J834" s="157"/>
      <c r="K834" s="158"/>
      <c r="L834" s="130"/>
      <c r="M834" s="130"/>
      <c r="O834" s="128"/>
    </row>
    <row r="835" spans="1:15" ht="12.75" x14ac:dyDescent="0.2">
      <c r="A835" s="126"/>
      <c r="B835" s="155"/>
      <c r="E835" s="156"/>
      <c r="H835" s="130"/>
      <c r="I835" s="130"/>
      <c r="J835" s="157"/>
      <c r="K835" s="158"/>
      <c r="L835" s="130"/>
      <c r="M835" s="130"/>
      <c r="O835" s="128"/>
    </row>
    <row r="836" spans="1:15" ht="12.75" x14ac:dyDescent="0.2">
      <c r="A836" s="126"/>
      <c r="B836" s="155"/>
      <c r="E836" s="156"/>
      <c r="H836" s="130"/>
      <c r="I836" s="130"/>
      <c r="J836" s="157"/>
      <c r="K836" s="158"/>
      <c r="L836" s="130"/>
      <c r="M836" s="130"/>
      <c r="O836" s="128"/>
    </row>
    <row r="837" spans="1:15" ht="12.75" x14ac:dyDescent="0.2">
      <c r="A837" s="126"/>
      <c r="B837" s="155"/>
      <c r="E837" s="156"/>
      <c r="H837" s="130"/>
      <c r="I837" s="130"/>
      <c r="J837" s="157"/>
      <c r="K837" s="158"/>
      <c r="L837" s="130"/>
      <c r="M837" s="130"/>
      <c r="O837" s="128"/>
    </row>
    <row r="838" spans="1:15" ht="12.75" x14ac:dyDescent="0.2">
      <c r="A838" s="126"/>
      <c r="B838" s="155"/>
      <c r="E838" s="156"/>
      <c r="H838" s="130"/>
      <c r="I838" s="130"/>
      <c r="J838" s="157"/>
      <c r="K838" s="158"/>
      <c r="L838" s="130"/>
      <c r="M838" s="130"/>
      <c r="O838" s="128"/>
    </row>
    <row r="839" spans="1:15" ht="12.75" x14ac:dyDescent="0.2">
      <c r="A839" s="126"/>
      <c r="B839" s="155"/>
      <c r="E839" s="156"/>
      <c r="H839" s="130"/>
      <c r="I839" s="130"/>
      <c r="J839" s="157"/>
      <c r="K839" s="158"/>
      <c r="L839" s="130"/>
      <c r="M839" s="130"/>
      <c r="O839" s="128"/>
    </row>
    <row r="840" spans="1:15" ht="12.75" x14ac:dyDescent="0.2">
      <c r="A840" s="126"/>
      <c r="B840" s="155"/>
      <c r="E840" s="156"/>
      <c r="H840" s="130"/>
      <c r="I840" s="130"/>
      <c r="J840" s="157"/>
      <c r="K840" s="158"/>
      <c r="L840" s="130"/>
      <c r="M840" s="130"/>
      <c r="O840" s="128"/>
    </row>
    <row r="841" spans="1:15" ht="12.75" x14ac:dyDescent="0.2">
      <c r="A841" s="126"/>
      <c r="B841" s="155"/>
      <c r="E841" s="156"/>
      <c r="H841" s="130"/>
      <c r="I841" s="130"/>
      <c r="J841" s="157"/>
      <c r="K841" s="158"/>
      <c r="L841" s="130"/>
      <c r="M841" s="130"/>
      <c r="O841" s="128"/>
    </row>
    <row r="842" spans="1:15" ht="12.75" x14ac:dyDescent="0.2">
      <c r="A842" s="126"/>
      <c r="B842" s="155"/>
      <c r="E842" s="156"/>
      <c r="H842" s="130"/>
      <c r="I842" s="130"/>
      <c r="J842" s="157"/>
      <c r="K842" s="158"/>
      <c r="L842" s="130"/>
      <c r="M842" s="130"/>
      <c r="O842" s="128"/>
    </row>
    <row r="843" spans="1:15" ht="12.75" x14ac:dyDescent="0.2">
      <c r="A843" s="126"/>
      <c r="B843" s="155"/>
      <c r="E843" s="156"/>
      <c r="H843" s="130"/>
      <c r="I843" s="130"/>
      <c r="J843" s="157"/>
      <c r="K843" s="158"/>
      <c r="L843" s="130"/>
      <c r="M843" s="130"/>
      <c r="O843" s="128"/>
    </row>
    <row r="844" spans="1:15" ht="12.75" x14ac:dyDescent="0.2">
      <c r="A844" s="126"/>
      <c r="B844" s="155"/>
      <c r="E844" s="156"/>
      <c r="H844" s="130"/>
      <c r="I844" s="130"/>
      <c r="J844" s="157"/>
      <c r="K844" s="158"/>
      <c r="L844" s="130"/>
      <c r="M844" s="130"/>
      <c r="O844" s="128"/>
    </row>
    <row r="845" spans="1:15" ht="12.75" x14ac:dyDescent="0.2">
      <c r="A845" s="126"/>
      <c r="B845" s="155"/>
      <c r="E845" s="156"/>
      <c r="H845" s="130"/>
      <c r="I845" s="130"/>
      <c r="J845" s="157"/>
      <c r="K845" s="158"/>
      <c r="L845" s="130"/>
      <c r="M845" s="130"/>
      <c r="O845" s="128"/>
    </row>
    <row r="846" spans="1:15" ht="12.75" x14ac:dyDescent="0.2">
      <c r="A846" s="126"/>
      <c r="B846" s="155"/>
      <c r="E846" s="156"/>
      <c r="H846" s="130"/>
      <c r="I846" s="130"/>
      <c r="J846" s="157"/>
      <c r="K846" s="158"/>
      <c r="L846" s="130"/>
      <c r="M846" s="130"/>
      <c r="O846" s="128"/>
    </row>
    <row r="847" spans="1:15" ht="12.75" x14ac:dyDescent="0.2">
      <c r="A847" s="126"/>
      <c r="B847" s="155"/>
      <c r="E847" s="156"/>
      <c r="H847" s="130"/>
      <c r="I847" s="130"/>
      <c r="J847" s="157"/>
      <c r="K847" s="158"/>
      <c r="L847" s="130"/>
      <c r="M847" s="130"/>
      <c r="O847" s="128"/>
    </row>
    <row r="848" spans="1:15" ht="12.75" x14ac:dyDescent="0.2">
      <c r="A848" s="126"/>
      <c r="B848" s="155"/>
      <c r="E848" s="156"/>
      <c r="H848" s="130"/>
      <c r="I848" s="130"/>
      <c r="J848" s="157"/>
      <c r="K848" s="158"/>
      <c r="L848" s="130"/>
      <c r="M848" s="130"/>
      <c r="O848" s="128"/>
    </row>
    <row r="849" spans="1:15" ht="12.75" x14ac:dyDescent="0.2">
      <c r="A849" s="126"/>
      <c r="B849" s="155"/>
      <c r="E849" s="156"/>
      <c r="H849" s="130"/>
      <c r="I849" s="130"/>
      <c r="J849" s="157"/>
      <c r="K849" s="158"/>
      <c r="L849" s="130"/>
      <c r="M849" s="130"/>
      <c r="O849" s="128"/>
    </row>
    <row r="850" spans="1:15" ht="12.75" x14ac:dyDescent="0.2">
      <c r="A850" s="126"/>
      <c r="B850" s="155"/>
      <c r="E850" s="156"/>
      <c r="H850" s="130"/>
      <c r="I850" s="130"/>
      <c r="J850" s="157"/>
      <c r="K850" s="158"/>
      <c r="L850" s="130"/>
      <c r="M850" s="130"/>
      <c r="O850" s="128"/>
    </row>
    <row r="851" spans="1:15" ht="12.75" x14ac:dyDescent="0.2">
      <c r="A851" s="126"/>
      <c r="B851" s="155"/>
      <c r="E851" s="156"/>
      <c r="H851" s="130"/>
      <c r="I851" s="130"/>
      <c r="J851" s="157"/>
      <c r="K851" s="158"/>
      <c r="L851" s="130"/>
      <c r="M851" s="130"/>
      <c r="O851" s="128"/>
    </row>
    <row r="852" spans="1:15" ht="12.75" x14ac:dyDescent="0.2">
      <c r="A852" s="126"/>
      <c r="B852" s="155"/>
      <c r="E852" s="156"/>
      <c r="H852" s="130"/>
      <c r="I852" s="130"/>
      <c r="J852" s="157"/>
      <c r="K852" s="158"/>
      <c r="L852" s="130"/>
      <c r="M852" s="130"/>
      <c r="O852" s="128"/>
    </row>
    <row r="853" spans="1:15" ht="12.75" x14ac:dyDescent="0.2">
      <c r="A853" s="126"/>
      <c r="B853" s="155"/>
      <c r="E853" s="156"/>
      <c r="H853" s="130"/>
      <c r="I853" s="130"/>
      <c r="J853" s="157"/>
      <c r="K853" s="158"/>
      <c r="L853" s="130"/>
      <c r="M853" s="130"/>
      <c r="O853" s="128"/>
    </row>
    <row r="854" spans="1:15" ht="12.75" x14ac:dyDescent="0.2">
      <c r="A854" s="126"/>
      <c r="B854" s="155"/>
      <c r="E854" s="156"/>
      <c r="H854" s="130"/>
      <c r="I854" s="130"/>
      <c r="J854" s="157"/>
      <c r="K854" s="158"/>
      <c r="L854" s="130"/>
      <c r="M854" s="130"/>
      <c r="O854" s="128"/>
    </row>
    <row r="855" spans="1:15" ht="12.75" x14ac:dyDescent="0.2">
      <c r="A855" s="126"/>
      <c r="B855" s="155"/>
      <c r="E855" s="156"/>
      <c r="H855" s="130"/>
      <c r="I855" s="130"/>
      <c r="J855" s="157"/>
      <c r="K855" s="158"/>
      <c r="L855" s="130"/>
      <c r="M855" s="130"/>
      <c r="O855" s="128"/>
    </row>
    <row r="856" spans="1:15" ht="12.75" x14ac:dyDescent="0.2">
      <c r="A856" s="126"/>
      <c r="B856" s="155"/>
      <c r="E856" s="156"/>
      <c r="H856" s="130"/>
      <c r="I856" s="130"/>
      <c r="J856" s="157"/>
      <c r="K856" s="158"/>
      <c r="L856" s="130"/>
      <c r="M856" s="130"/>
      <c r="O856" s="128"/>
    </row>
    <row r="857" spans="1:15" ht="12.75" x14ac:dyDescent="0.2">
      <c r="A857" s="126"/>
      <c r="B857" s="155"/>
      <c r="E857" s="156"/>
      <c r="H857" s="130"/>
      <c r="I857" s="130"/>
      <c r="J857" s="157"/>
      <c r="K857" s="158"/>
      <c r="L857" s="130"/>
      <c r="M857" s="130"/>
      <c r="O857" s="128"/>
    </row>
    <row r="858" spans="1:15" ht="12.75" x14ac:dyDescent="0.2">
      <c r="A858" s="126"/>
      <c r="B858" s="155"/>
      <c r="E858" s="156"/>
      <c r="H858" s="130"/>
      <c r="I858" s="130"/>
      <c r="J858" s="157"/>
      <c r="K858" s="158"/>
      <c r="L858" s="130"/>
      <c r="M858" s="130"/>
      <c r="O858" s="128"/>
    </row>
    <row r="859" spans="1:15" ht="12.75" x14ac:dyDescent="0.2">
      <c r="A859" s="126"/>
      <c r="B859" s="155"/>
      <c r="E859" s="156"/>
      <c r="H859" s="130"/>
      <c r="I859" s="130"/>
      <c r="J859" s="157"/>
      <c r="K859" s="158"/>
      <c r="L859" s="130"/>
      <c r="M859" s="130"/>
      <c r="O859" s="128"/>
    </row>
    <row r="860" spans="1:15" ht="12.75" x14ac:dyDescent="0.2">
      <c r="A860" s="126"/>
      <c r="B860" s="155"/>
      <c r="E860" s="156"/>
      <c r="H860" s="130"/>
      <c r="I860" s="130"/>
      <c r="J860" s="157"/>
      <c r="K860" s="158"/>
      <c r="L860" s="130"/>
      <c r="M860" s="130"/>
      <c r="O860" s="128"/>
    </row>
    <row r="861" spans="1:15" ht="12.75" x14ac:dyDescent="0.2">
      <c r="A861" s="126"/>
      <c r="B861" s="155"/>
      <c r="E861" s="156"/>
      <c r="H861" s="130"/>
      <c r="I861" s="130"/>
      <c r="J861" s="157"/>
      <c r="K861" s="158"/>
      <c r="L861" s="130"/>
      <c r="M861" s="130"/>
      <c r="O861" s="128"/>
    </row>
    <row r="862" spans="1:15" ht="12.75" x14ac:dyDescent="0.2">
      <c r="A862" s="126"/>
      <c r="B862" s="155"/>
      <c r="E862" s="156"/>
      <c r="H862" s="130"/>
      <c r="I862" s="130"/>
      <c r="J862" s="157"/>
      <c r="K862" s="158"/>
      <c r="L862" s="130"/>
      <c r="M862" s="130"/>
      <c r="O862" s="128"/>
    </row>
    <row r="863" spans="1:15" ht="12.75" x14ac:dyDescent="0.2">
      <c r="A863" s="126"/>
      <c r="B863" s="155"/>
      <c r="E863" s="156"/>
      <c r="H863" s="130"/>
      <c r="I863" s="130"/>
      <c r="J863" s="157"/>
      <c r="K863" s="158"/>
      <c r="L863" s="130"/>
      <c r="M863" s="130"/>
      <c r="O863" s="128"/>
    </row>
    <row r="864" spans="1:15" ht="12.75" x14ac:dyDescent="0.2">
      <c r="A864" s="126"/>
      <c r="B864" s="155"/>
      <c r="E864" s="156"/>
      <c r="H864" s="130"/>
      <c r="I864" s="130"/>
      <c r="J864" s="157"/>
      <c r="K864" s="158"/>
      <c r="L864" s="130"/>
      <c r="M864" s="130"/>
      <c r="O864" s="128"/>
    </row>
    <row r="865" spans="1:15" ht="12.75" x14ac:dyDescent="0.2">
      <c r="A865" s="126"/>
      <c r="B865" s="155"/>
      <c r="E865" s="156"/>
      <c r="H865" s="130"/>
      <c r="I865" s="130"/>
      <c r="J865" s="157"/>
      <c r="K865" s="158"/>
      <c r="L865" s="130"/>
      <c r="M865" s="130"/>
      <c r="O865" s="128"/>
    </row>
    <row r="866" spans="1:15" ht="12.75" x14ac:dyDescent="0.2">
      <c r="A866" s="126"/>
      <c r="B866" s="155"/>
      <c r="E866" s="156"/>
      <c r="H866" s="130"/>
      <c r="I866" s="130"/>
      <c r="J866" s="157"/>
      <c r="K866" s="158"/>
      <c r="L866" s="130"/>
      <c r="M866" s="130"/>
      <c r="O866" s="128"/>
    </row>
    <row r="867" spans="1:15" ht="12.75" x14ac:dyDescent="0.2">
      <c r="A867" s="126"/>
      <c r="B867" s="155"/>
      <c r="E867" s="156"/>
      <c r="H867" s="130"/>
      <c r="I867" s="130"/>
      <c r="J867" s="157"/>
      <c r="K867" s="158"/>
      <c r="L867" s="130"/>
      <c r="M867" s="130"/>
      <c r="O867" s="128"/>
    </row>
    <row r="868" spans="1:15" ht="12.75" x14ac:dyDescent="0.2">
      <c r="A868" s="126"/>
      <c r="B868" s="155"/>
      <c r="E868" s="156"/>
      <c r="H868" s="130"/>
      <c r="I868" s="130"/>
      <c r="J868" s="157"/>
      <c r="K868" s="158"/>
      <c r="L868" s="130"/>
      <c r="M868" s="130"/>
      <c r="O868" s="128"/>
    </row>
    <row r="869" spans="1:15" ht="12.75" x14ac:dyDescent="0.2">
      <c r="A869" s="126"/>
      <c r="B869" s="155"/>
      <c r="E869" s="156"/>
      <c r="H869" s="130"/>
      <c r="I869" s="130"/>
      <c r="J869" s="157"/>
      <c r="K869" s="158"/>
      <c r="L869" s="130"/>
      <c r="M869" s="130"/>
      <c r="O869" s="128"/>
    </row>
    <row r="870" spans="1:15" ht="12.75" x14ac:dyDescent="0.2">
      <c r="A870" s="126"/>
      <c r="B870" s="155"/>
      <c r="E870" s="156"/>
      <c r="H870" s="130"/>
      <c r="I870" s="130"/>
      <c r="J870" s="157"/>
      <c r="K870" s="158"/>
      <c r="L870" s="130"/>
      <c r="M870" s="130"/>
      <c r="O870" s="128"/>
    </row>
    <row r="871" spans="1:15" ht="12.75" x14ac:dyDescent="0.2">
      <c r="A871" s="126"/>
      <c r="B871" s="155"/>
      <c r="E871" s="156"/>
      <c r="H871" s="130"/>
      <c r="I871" s="130"/>
      <c r="J871" s="157"/>
      <c r="K871" s="158"/>
      <c r="L871" s="130"/>
      <c r="M871" s="130"/>
      <c r="O871" s="128"/>
    </row>
    <row r="872" spans="1:15" ht="12.75" x14ac:dyDescent="0.2">
      <c r="A872" s="126"/>
      <c r="B872" s="155"/>
      <c r="E872" s="156"/>
      <c r="H872" s="130"/>
      <c r="I872" s="130"/>
      <c r="J872" s="157"/>
      <c r="K872" s="158"/>
      <c r="L872" s="130"/>
      <c r="M872" s="130"/>
      <c r="O872" s="128"/>
    </row>
    <row r="873" spans="1:15" ht="12.75" x14ac:dyDescent="0.2">
      <c r="A873" s="126"/>
      <c r="B873" s="155"/>
      <c r="E873" s="156"/>
      <c r="H873" s="130"/>
      <c r="I873" s="130"/>
      <c r="J873" s="157"/>
      <c r="K873" s="158"/>
      <c r="L873" s="130"/>
      <c r="M873" s="130"/>
      <c r="O873" s="128"/>
    </row>
    <row r="874" spans="1:15" ht="12.75" x14ac:dyDescent="0.2">
      <c r="A874" s="126"/>
      <c r="B874" s="155"/>
      <c r="E874" s="156"/>
      <c r="H874" s="130"/>
      <c r="I874" s="130"/>
      <c r="J874" s="157"/>
      <c r="K874" s="158"/>
      <c r="L874" s="130"/>
      <c r="M874" s="130"/>
      <c r="O874" s="128"/>
    </row>
    <row r="875" spans="1:15" ht="12.75" x14ac:dyDescent="0.2">
      <c r="A875" s="126"/>
      <c r="B875" s="155"/>
      <c r="E875" s="156"/>
      <c r="H875" s="130"/>
      <c r="I875" s="130"/>
      <c r="J875" s="157"/>
      <c r="K875" s="158"/>
      <c r="L875" s="130"/>
      <c r="M875" s="130"/>
      <c r="O875" s="128"/>
    </row>
    <row r="876" spans="1:15" ht="12.75" x14ac:dyDescent="0.2">
      <c r="A876" s="126"/>
      <c r="B876" s="155"/>
      <c r="E876" s="156"/>
      <c r="H876" s="130"/>
      <c r="I876" s="130"/>
      <c r="J876" s="157"/>
      <c r="K876" s="158"/>
      <c r="L876" s="130"/>
      <c r="M876" s="130"/>
      <c r="O876" s="128"/>
    </row>
    <row r="877" spans="1:15" ht="12.75" x14ac:dyDescent="0.2">
      <c r="A877" s="126"/>
      <c r="B877" s="155"/>
      <c r="E877" s="156"/>
      <c r="H877" s="130"/>
      <c r="I877" s="130"/>
      <c r="J877" s="157"/>
      <c r="K877" s="158"/>
      <c r="L877" s="130"/>
      <c r="M877" s="130"/>
      <c r="O877" s="128"/>
    </row>
    <row r="878" spans="1:15" ht="12.75" x14ac:dyDescent="0.2">
      <c r="A878" s="126"/>
      <c r="B878" s="155"/>
      <c r="E878" s="156"/>
      <c r="H878" s="130"/>
      <c r="I878" s="130"/>
      <c r="J878" s="157"/>
      <c r="K878" s="158"/>
      <c r="L878" s="130"/>
      <c r="M878" s="130"/>
      <c r="O878" s="128"/>
    </row>
    <row r="879" spans="1:15" ht="12.75" x14ac:dyDescent="0.2">
      <c r="A879" s="126"/>
      <c r="B879" s="155"/>
      <c r="E879" s="156"/>
      <c r="H879" s="130"/>
      <c r="I879" s="130"/>
      <c r="J879" s="157"/>
      <c r="K879" s="158"/>
      <c r="L879" s="130"/>
      <c r="M879" s="130"/>
      <c r="O879" s="128"/>
    </row>
    <row r="880" spans="1:15" ht="12.75" x14ac:dyDescent="0.2">
      <c r="A880" s="126"/>
      <c r="B880" s="155"/>
      <c r="E880" s="156"/>
      <c r="H880" s="130"/>
      <c r="I880" s="130"/>
      <c r="J880" s="157"/>
      <c r="K880" s="158"/>
      <c r="L880" s="130"/>
      <c r="M880" s="130"/>
      <c r="O880" s="128"/>
    </row>
    <row r="881" spans="1:15" ht="12.75" x14ac:dyDescent="0.2">
      <c r="A881" s="126"/>
      <c r="B881" s="155"/>
      <c r="E881" s="156"/>
      <c r="H881" s="130"/>
      <c r="I881" s="130"/>
      <c r="J881" s="157"/>
      <c r="K881" s="158"/>
      <c r="L881" s="130"/>
      <c r="M881" s="130"/>
      <c r="O881" s="128"/>
    </row>
    <row r="882" spans="1:15" ht="12.75" x14ac:dyDescent="0.2">
      <c r="A882" s="126"/>
      <c r="B882" s="155"/>
      <c r="E882" s="156"/>
      <c r="H882" s="130"/>
      <c r="I882" s="130"/>
      <c r="J882" s="157"/>
      <c r="K882" s="158"/>
      <c r="L882" s="130"/>
      <c r="M882" s="130"/>
      <c r="O882" s="128"/>
    </row>
    <row r="883" spans="1:15" ht="12.75" x14ac:dyDescent="0.2">
      <c r="A883" s="126"/>
      <c r="B883" s="155"/>
      <c r="E883" s="156"/>
      <c r="H883" s="130"/>
      <c r="I883" s="130"/>
      <c r="J883" s="157"/>
      <c r="K883" s="158"/>
      <c r="L883" s="130"/>
      <c r="M883" s="130"/>
      <c r="O883" s="128"/>
    </row>
    <row r="884" spans="1:15" ht="12.75" x14ac:dyDescent="0.2">
      <c r="A884" s="126"/>
      <c r="B884" s="155"/>
      <c r="E884" s="156"/>
      <c r="H884" s="130"/>
      <c r="I884" s="130"/>
      <c r="J884" s="157"/>
      <c r="K884" s="158"/>
      <c r="L884" s="130"/>
      <c r="M884" s="130"/>
      <c r="O884" s="128"/>
    </row>
    <row r="885" spans="1:15" ht="12.75" x14ac:dyDescent="0.2">
      <c r="A885" s="126"/>
      <c r="B885" s="155"/>
      <c r="E885" s="156"/>
      <c r="H885" s="130"/>
      <c r="I885" s="130"/>
      <c r="J885" s="157"/>
      <c r="K885" s="158"/>
      <c r="L885" s="130"/>
      <c r="M885" s="130"/>
      <c r="O885" s="128"/>
    </row>
    <row r="886" spans="1:15" ht="12.75" x14ac:dyDescent="0.2">
      <c r="A886" s="126"/>
      <c r="B886" s="155"/>
      <c r="E886" s="156"/>
      <c r="H886" s="130"/>
      <c r="I886" s="130"/>
      <c r="J886" s="157"/>
      <c r="K886" s="158"/>
      <c r="L886" s="130"/>
      <c r="M886" s="130"/>
      <c r="O886" s="128"/>
    </row>
    <row r="887" spans="1:15" ht="12.75" x14ac:dyDescent="0.2">
      <c r="A887" s="126"/>
      <c r="B887" s="155"/>
      <c r="E887" s="156"/>
      <c r="H887" s="130"/>
      <c r="I887" s="130"/>
      <c r="J887" s="157"/>
      <c r="K887" s="158"/>
      <c r="L887" s="130"/>
      <c r="M887" s="130"/>
      <c r="O887" s="128"/>
    </row>
    <row r="888" spans="1:15" ht="12.75" x14ac:dyDescent="0.2">
      <c r="A888" s="126"/>
      <c r="B888" s="155"/>
      <c r="E888" s="156"/>
      <c r="H888" s="130"/>
      <c r="I888" s="130"/>
      <c r="J888" s="157"/>
      <c r="K888" s="158"/>
      <c r="L888" s="130"/>
      <c r="M888" s="130"/>
      <c r="O888" s="128"/>
    </row>
    <row r="889" spans="1:15" ht="12.75" x14ac:dyDescent="0.2">
      <c r="A889" s="126"/>
      <c r="B889" s="155"/>
      <c r="E889" s="156"/>
      <c r="H889" s="130"/>
      <c r="I889" s="130"/>
      <c r="J889" s="157"/>
      <c r="K889" s="158"/>
      <c r="L889" s="130"/>
      <c r="M889" s="130"/>
      <c r="O889" s="128"/>
    </row>
    <row r="890" spans="1:15" ht="12.75" x14ac:dyDescent="0.2">
      <c r="A890" s="126"/>
      <c r="B890" s="155"/>
      <c r="E890" s="156"/>
      <c r="H890" s="130"/>
      <c r="I890" s="130"/>
      <c r="J890" s="157"/>
      <c r="K890" s="158"/>
      <c r="L890" s="130"/>
      <c r="M890" s="130"/>
      <c r="O890" s="128"/>
    </row>
    <row r="891" spans="1:15" ht="12.75" x14ac:dyDescent="0.2">
      <c r="A891" s="126"/>
      <c r="B891" s="155"/>
      <c r="E891" s="156"/>
      <c r="H891" s="130"/>
      <c r="I891" s="130"/>
      <c r="J891" s="157"/>
      <c r="K891" s="158"/>
      <c r="L891" s="130"/>
      <c r="M891" s="130"/>
      <c r="O891" s="128"/>
    </row>
    <row r="892" spans="1:15" ht="12.75" x14ac:dyDescent="0.2">
      <c r="A892" s="126"/>
      <c r="B892" s="155"/>
      <c r="E892" s="156"/>
      <c r="H892" s="130"/>
      <c r="I892" s="130"/>
      <c r="J892" s="157"/>
      <c r="K892" s="158"/>
      <c r="L892" s="130"/>
      <c r="M892" s="130"/>
      <c r="O892" s="128"/>
    </row>
    <row r="893" spans="1:15" ht="12.75" x14ac:dyDescent="0.2">
      <c r="A893" s="126"/>
      <c r="B893" s="155"/>
      <c r="E893" s="156"/>
      <c r="H893" s="130"/>
      <c r="I893" s="130"/>
      <c r="J893" s="157"/>
      <c r="K893" s="158"/>
      <c r="L893" s="130"/>
      <c r="M893" s="130"/>
      <c r="O893" s="128"/>
    </row>
    <row r="894" spans="1:15" ht="12.75" x14ac:dyDescent="0.2">
      <c r="A894" s="126"/>
      <c r="B894" s="155"/>
      <c r="E894" s="156"/>
      <c r="H894" s="130"/>
      <c r="I894" s="130"/>
      <c r="J894" s="157"/>
      <c r="K894" s="158"/>
      <c r="L894" s="130"/>
      <c r="M894" s="130"/>
      <c r="O894" s="128"/>
    </row>
    <row r="895" spans="1:15" ht="12.75" x14ac:dyDescent="0.2">
      <c r="A895" s="126"/>
      <c r="B895" s="155"/>
      <c r="E895" s="156"/>
      <c r="H895" s="130"/>
      <c r="I895" s="130"/>
      <c r="J895" s="157"/>
      <c r="K895" s="158"/>
      <c r="L895" s="130"/>
      <c r="M895" s="130"/>
      <c r="O895" s="128"/>
    </row>
    <row r="896" spans="1:15" ht="12.75" x14ac:dyDescent="0.2">
      <c r="A896" s="126"/>
      <c r="B896" s="155"/>
      <c r="E896" s="156"/>
      <c r="H896" s="130"/>
      <c r="I896" s="130"/>
      <c r="J896" s="157"/>
      <c r="K896" s="158"/>
      <c r="L896" s="130"/>
      <c r="M896" s="130"/>
      <c r="O896" s="128"/>
    </row>
    <row r="897" spans="1:15" ht="12.75" x14ac:dyDescent="0.2">
      <c r="A897" s="126"/>
      <c r="B897" s="155"/>
      <c r="E897" s="156"/>
      <c r="H897" s="130"/>
      <c r="I897" s="130"/>
      <c r="J897" s="157"/>
      <c r="K897" s="158"/>
      <c r="L897" s="130"/>
      <c r="M897" s="130"/>
      <c r="O897" s="128"/>
    </row>
    <row r="898" spans="1:15" ht="12.75" x14ac:dyDescent="0.2">
      <c r="A898" s="126"/>
      <c r="B898" s="155"/>
      <c r="E898" s="156"/>
      <c r="H898" s="130"/>
      <c r="I898" s="130"/>
      <c r="J898" s="157"/>
      <c r="K898" s="158"/>
      <c r="L898" s="130"/>
      <c r="M898" s="130"/>
      <c r="O898" s="128"/>
    </row>
    <row r="899" spans="1:15" ht="12.75" x14ac:dyDescent="0.2">
      <c r="A899" s="126"/>
      <c r="B899" s="155"/>
      <c r="E899" s="156"/>
      <c r="H899" s="130"/>
      <c r="I899" s="130"/>
      <c r="J899" s="157"/>
      <c r="K899" s="158"/>
      <c r="L899" s="130"/>
      <c r="M899" s="130"/>
      <c r="O899" s="128"/>
    </row>
    <row r="900" spans="1:15" ht="12.75" x14ac:dyDescent="0.2">
      <c r="A900" s="126"/>
      <c r="B900" s="155"/>
      <c r="E900" s="156"/>
      <c r="H900" s="130"/>
      <c r="I900" s="130"/>
      <c r="J900" s="157"/>
      <c r="K900" s="158"/>
      <c r="L900" s="130"/>
      <c r="M900" s="130"/>
      <c r="O900" s="128"/>
    </row>
    <row r="901" spans="1:15" ht="12.75" x14ac:dyDescent="0.2">
      <c r="A901" s="126"/>
      <c r="B901" s="155"/>
      <c r="E901" s="156"/>
      <c r="H901" s="130"/>
      <c r="I901" s="130"/>
      <c r="J901" s="157"/>
      <c r="K901" s="158"/>
      <c r="L901" s="130"/>
      <c r="M901" s="130"/>
      <c r="O901" s="128"/>
    </row>
    <row r="902" spans="1:15" ht="12.75" x14ac:dyDescent="0.2">
      <c r="A902" s="126"/>
      <c r="B902" s="155"/>
      <c r="E902" s="156"/>
      <c r="H902" s="130"/>
      <c r="I902" s="130"/>
      <c r="J902" s="157"/>
      <c r="K902" s="158"/>
      <c r="L902" s="130"/>
      <c r="M902" s="130"/>
      <c r="O902" s="128"/>
    </row>
    <row r="903" spans="1:15" ht="12.75" x14ac:dyDescent="0.2">
      <c r="A903" s="126"/>
      <c r="B903" s="155"/>
      <c r="E903" s="156"/>
      <c r="H903" s="130"/>
      <c r="I903" s="130"/>
      <c r="J903" s="157"/>
      <c r="K903" s="158"/>
      <c r="L903" s="130"/>
      <c r="M903" s="130"/>
      <c r="O903" s="128"/>
    </row>
    <row r="904" spans="1:15" ht="12.75" x14ac:dyDescent="0.2">
      <c r="A904" s="126"/>
      <c r="B904" s="155"/>
      <c r="E904" s="156"/>
      <c r="H904" s="130"/>
      <c r="I904" s="130"/>
      <c r="J904" s="157"/>
      <c r="K904" s="158"/>
      <c r="L904" s="130"/>
      <c r="M904" s="130"/>
      <c r="O904" s="128"/>
    </row>
    <row r="905" spans="1:15" ht="12.75" x14ac:dyDescent="0.2">
      <c r="A905" s="126"/>
      <c r="B905" s="155"/>
      <c r="E905" s="156"/>
      <c r="H905" s="130"/>
      <c r="I905" s="130"/>
      <c r="J905" s="157"/>
      <c r="K905" s="158"/>
      <c r="L905" s="130"/>
      <c r="M905" s="130"/>
      <c r="O905" s="128"/>
    </row>
    <row r="906" spans="1:15" ht="12.75" x14ac:dyDescent="0.2">
      <c r="A906" s="126"/>
      <c r="B906" s="155"/>
      <c r="E906" s="156"/>
      <c r="H906" s="130"/>
      <c r="I906" s="130"/>
      <c r="J906" s="157"/>
      <c r="K906" s="158"/>
      <c r="L906" s="130"/>
      <c r="M906" s="130"/>
      <c r="O906" s="128"/>
    </row>
    <row r="907" spans="1:15" ht="12.75" x14ac:dyDescent="0.2">
      <c r="A907" s="126"/>
      <c r="B907" s="155"/>
      <c r="E907" s="156"/>
      <c r="H907" s="130"/>
      <c r="I907" s="130"/>
      <c r="J907" s="157"/>
      <c r="K907" s="158"/>
      <c r="L907" s="130"/>
      <c r="M907" s="130"/>
      <c r="O907" s="128"/>
    </row>
    <row r="908" spans="1:15" ht="12.75" x14ac:dyDescent="0.2">
      <c r="A908" s="126"/>
      <c r="B908" s="155"/>
      <c r="E908" s="156"/>
      <c r="H908" s="130"/>
      <c r="I908" s="130"/>
      <c r="J908" s="157"/>
      <c r="K908" s="158"/>
      <c r="L908" s="130"/>
      <c r="M908" s="130"/>
      <c r="O908" s="128"/>
    </row>
    <row r="909" spans="1:15" ht="12.75" x14ac:dyDescent="0.2">
      <c r="A909" s="126"/>
      <c r="B909" s="155"/>
      <c r="E909" s="156"/>
      <c r="H909" s="130"/>
      <c r="I909" s="130"/>
      <c r="J909" s="157"/>
      <c r="K909" s="158"/>
      <c r="L909" s="130"/>
      <c r="M909" s="130"/>
      <c r="O909" s="128"/>
    </row>
    <row r="910" spans="1:15" ht="12.75" x14ac:dyDescent="0.2">
      <c r="A910" s="126"/>
      <c r="B910" s="155"/>
      <c r="E910" s="156"/>
      <c r="H910" s="130"/>
      <c r="I910" s="130"/>
      <c r="J910" s="157"/>
      <c r="K910" s="158"/>
      <c r="L910" s="130"/>
      <c r="M910" s="130"/>
      <c r="O910" s="128"/>
    </row>
    <row r="911" spans="1:15" ht="12.75" x14ac:dyDescent="0.2">
      <c r="A911" s="126"/>
      <c r="B911" s="155"/>
      <c r="E911" s="156"/>
      <c r="H911" s="130"/>
      <c r="I911" s="130"/>
      <c r="J911" s="157"/>
      <c r="K911" s="158"/>
      <c r="L911" s="130"/>
      <c r="M911" s="130"/>
      <c r="O911" s="128"/>
    </row>
    <row r="912" spans="1:15" ht="12.75" x14ac:dyDescent="0.2">
      <c r="A912" s="126"/>
      <c r="B912" s="155"/>
      <c r="E912" s="156"/>
      <c r="H912" s="130"/>
      <c r="I912" s="130"/>
      <c r="J912" s="157"/>
      <c r="K912" s="158"/>
      <c r="L912" s="130"/>
      <c r="M912" s="130"/>
      <c r="O912" s="128"/>
    </row>
    <row r="913" spans="1:15" ht="12.75" x14ac:dyDescent="0.2">
      <c r="A913" s="126"/>
      <c r="B913" s="155"/>
      <c r="E913" s="156"/>
      <c r="H913" s="130"/>
      <c r="I913" s="130"/>
      <c r="J913" s="157"/>
      <c r="K913" s="158"/>
      <c r="L913" s="130"/>
      <c r="M913" s="130"/>
      <c r="O913" s="128"/>
    </row>
    <row r="914" spans="1:15" ht="12.75" x14ac:dyDescent="0.2">
      <c r="A914" s="126"/>
      <c r="B914" s="155"/>
      <c r="E914" s="156"/>
      <c r="H914" s="130"/>
      <c r="I914" s="130"/>
      <c r="J914" s="157"/>
      <c r="K914" s="158"/>
      <c r="L914" s="130"/>
      <c r="M914" s="130"/>
      <c r="O914" s="128"/>
    </row>
    <row r="915" spans="1:15" ht="12.75" x14ac:dyDescent="0.2">
      <c r="A915" s="126"/>
      <c r="B915" s="155"/>
      <c r="E915" s="156"/>
      <c r="H915" s="130"/>
      <c r="I915" s="130"/>
      <c r="J915" s="157"/>
      <c r="K915" s="158"/>
      <c r="L915" s="130"/>
      <c r="M915" s="130"/>
      <c r="O915" s="128"/>
    </row>
    <row r="916" spans="1:15" ht="12.75" x14ac:dyDescent="0.2">
      <c r="A916" s="126"/>
      <c r="B916" s="155"/>
      <c r="E916" s="156"/>
      <c r="H916" s="130"/>
      <c r="I916" s="130"/>
      <c r="J916" s="157"/>
      <c r="K916" s="158"/>
      <c r="L916" s="130"/>
      <c r="M916" s="130"/>
      <c r="O916" s="128"/>
    </row>
    <row r="917" spans="1:15" ht="12.75" x14ac:dyDescent="0.2">
      <c r="A917" s="126"/>
      <c r="B917" s="155"/>
      <c r="E917" s="156"/>
      <c r="H917" s="130"/>
      <c r="I917" s="130"/>
      <c r="J917" s="157"/>
      <c r="K917" s="158"/>
      <c r="L917" s="130"/>
      <c r="M917" s="130"/>
      <c r="O917" s="128"/>
    </row>
    <row r="918" spans="1:15" ht="12.75" x14ac:dyDescent="0.2">
      <c r="A918" s="126"/>
      <c r="B918" s="155"/>
      <c r="E918" s="156"/>
      <c r="H918" s="130"/>
      <c r="I918" s="130"/>
      <c r="J918" s="157"/>
      <c r="K918" s="158"/>
      <c r="L918" s="130"/>
      <c r="M918" s="130"/>
      <c r="O918" s="128"/>
    </row>
    <row r="919" spans="1:15" ht="12.75" x14ac:dyDescent="0.2">
      <c r="A919" s="126"/>
      <c r="B919" s="155"/>
      <c r="E919" s="156"/>
      <c r="H919" s="130"/>
      <c r="I919" s="130"/>
      <c r="J919" s="157"/>
      <c r="K919" s="158"/>
      <c r="L919" s="130"/>
      <c r="M919" s="130"/>
      <c r="O919" s="128"/>
    </row>
    <row r="920" spans="1:15" ht="12.75" x14ac:dyDescent="0.2">
      <c r="A920" s="126"/>
      <c r="B920" s="155"/>
      <c r="E920" s="156"/>
      <c r="H920" s="130"/>
      <c r="I920" s="130"/>
      <c r="J920" s="157"/>
      <c r="K920" s="158"/>
      <c r="L920" s="130"/>
      <c r="M920" s="130"/>
      <c r="O920" s="128"/>
    </row>
    <row r="921" spans="1:15" ht="12.75" x14ac:dyDescent="0.2">
      <c r="A921" s="126"/>
      <c r="B921" s="155"/>
      <c r="E921" s="156"/>
      <c r="H921" s="130"/>
      <c r="I921" s="130"/>
      <c r="J921" s="157"/>
      <c r="K921" s="158"/>
      <c r="L921" s="130"/>
      <c r="M921" s="130"/>
      <c r="O921" s="128"/>
    </row>
    <row r="922" spans="1:15" ht="12.75" x14ac:dyDescent="0.2">
      <c r="A922" s="126"/>
      <c r="B922" s="155"/>
      <c r="E922" s="156"/>
      <c r="H922" s="130"/>
      <c r="I922" s="130"/>
      <c r="J922" s="157"/>
      <c r="K922" s="158"/>
      <c r="L922" s="130"/>
      <c r="M922" s="130"/>
      <c r="O922" s="128"/>
    </row>
    <row r="923" spans="1:15" ht="12.75" x14ac:dyDescent="0.2">
      <c r="A923" s="126"/>
      <c r="B923" s="155"/>
      <c r="E923" s="156"/>
      <c r="H923" s="130"/>
      <c r="I923" s="130"/>
      <c r="J923" s="157"/>
      <c r="K923" s="158"/>
      <c r="L923" s="130"/>
      <c r="M923" s="130"/>
      <c r="O923" s="128"/>
    </row>
    <row r="924" spans="1:15" ht="12.75" x14ac:dyDescent="0.2">
      <c r="A924" s="126"/>
      <c r="B924" s="155"/>
      <c r="E924" s="156"/>
      <c r="H924" s="130"/>
      <c r="I924" s="130"/>
      <c r="J924" s="157"/>
      <c r="K924" s="158"/>
      <c r="L924" s="130"/>
      <c r="M924" s="130"/>
      <c r="O924" s="128"/>
    </row>
    <row r="925" spans="1:15" ht="12.75" x14ac:dyDescent="0.2">
      <c r="A925" s="126"/>
      <c r="B925" s="155"/>
      <c r="E925" s="156"/>
      <c r="H925" s="130"/>
      <c r="I925" s="130"/>
      <c r="J925" s="157"/>
      <c r="K925" s="158"/>
      <c r="L925" s="130"/>
      <c r="M925" s="130"/>
      <c r="O925" s="128"/>
    </row>
    <row r="926" spans="1:15" ht="12.75" x14ac:dyDescent="0.2">
      <c r="A926" s="126"/>
      <c r="B926" s="155"/>
      <c r="E926" s="156"/>
      <c r="H926" s="130"/>
      <c r="I926" s="130"/>
      <c r="J926" s="157"/>
      <c r="K926" s="158"/>
      <c r="L926" s="130"/>
      <c r="M926" s="130"/>
      <c r="O926" s="128"/>
    </row>
    <row r="927" spans="1:15" ht="12.75" x14ac:dyDescent="0.2">
      <c r="A927" s="126"/>
      <c r="B927" s="155"/>
      <c r="E927" s="156"/>
      <c r="H927" s="130"/>
      <c r="I927" s="130"/>
      <c r="J927" s="157"/>
      <c r="K927" s="158"/>
      <c r="L927" s="130"/>
      <c r="M927" s="130"/>
      <c r="O927" s="128"/>
    </row>
    <row r="928" spans="1:15" ht="12.75" x14ac:dyDescent="0.2">
      <c r="A928" s="126"/>
      <c r="B928" s="155"/>
      <c r="E928" s="156"/>
      <c r="H928" s="130"/>
      <c r="I928" s="130"/>
      <c r="J928" s="157"/>
      <c r="K928" s="158"/>
      <c r="L928" s="130"/>
      <c r="M928" s="130"/>
      <c r="O928" s="128"/>
    </row>
    <row r="929" spans="1:15" ht="12.75" x14ac:dyDescent="0.2">
      <c r="A929" s="126"/>
      <c r="B929" s="155"/>
      <c r="E929" s="156"/>
      <c r="H929" s="130"/>
      <c r="I929" s="130"/>
      <c r="J929" s="157"/>
      <c r="K929" s="158"/>
      <c r="L929" s="130"/>
      <c r="M929" s="130"/>
      <c r="O929" s="128"/>
    </row>
    <row r="930" spans="1:15" ht="12.75" x14ac:dyDescent="0.2">
      <c r="A930" s="126"/>
      <c r="B930" s="155"/>
      <c r="E930" s="156"/>
      <c r="H930" s="130"/>
      <c r="I930" s="130"/>
      <c r="J930" s="157"/>
      <c r="K930" s="158"/>
      <c r="L930" s="130"/>
      <c r="M930" s="130"/>
      <c r="O930" s="128"/>
    </row>
    <row r="931" spans="1:15" ht="12.75" x14ac:dyDescent="0.2">
      <c r="A931" s="126"/>
      <c r="B931" s="155"/>
      <c r="E931" s="156"/>
      <c r="H931" s="130"/>
      <c r="I931" s="130"/>
      <c r="J931" s="157"/>
      <c r="K931" s="158"/>
      <c r="L931" s="130"/>
      <c r="M931" s="130"/>
      <c r="O931" s="128"/>
    </row>
    <row r="932" spans="1:15" ht="12.75" x14ac:dyDescent="0.2">
      <c r="A932" s="126"/>
      <c r="B932" s="155"/>
      <c r="E932" s="156"/>
      <c r="H932" s="130"/>
      <c r="I932" s="130"/>
      <c r="J932" s="157"/>
      <c r="K932" s="158"/>
      <c r="L932" s="130"/>
      <c r="M932" s="130"/>
      <c r="O932" s="128"/>
    </row>
    <row r="933" spans="1:15" ht="12.75" x14ac:dyDescent="0.2">
      <c r="A933" s="126"/>
      <c r="B933" s="155"/>
      <c r="E933" s="156"/>
      <c r="H933" s="130"/>
      <c r="I933" s="130"/>
      <c r="J933" s="157"/>
      <c r="K933" s="158"/>
      <c r="L933" s="130"/>
      <c r="M933" s="130"/>
      <c r="O933" s="128"/>
    </row>
    <row r="934" spans="1:15" ht="12.75" x14ac:dyDescent="0.2">
      <c r="A934" s="126"/>
      <c r="B934" s="155"/>
      <c r="E934" s="156"/>
      <c r="H934" s="130"/>
      <c r="I934" s="130"/>
      <c r="J934" s="157"/>
      <c r="K934" s="158"/>
      <c r="L934" s="130"/>
      <c r="M934" s="130"/>
      <c r="O934" s="128"/>
    </row>
    <row r="935" spans="1:15" ht="12.75" x14ac:dyDescent="0.2">
      <c r="A935" s="126"/>
      <c r="B935" s="155"/>
      <c r="E935" s="156"/>
      <c r="H935" s="130"/>
      <c r="I935" s="130"/>
      <c r="J935" s="157"/>
      <c r="K935" s="158"/>
      <c r="L935" s="130"/>
      <c r="M935" s="130"/>
      <c r="O935" s="128"/>
    </row>
    <row r="936" spans="1:15" ht="12.75" x14ac:dyDescent="0.2">
      <c r="A936" s="126"/>
      <c r="B936" s="155"/>
      <c r="E936" s="156"/>
      <c r="H936" s="130"/>
      <c r="I936" s="130"/>
      <c r="J936" s="157"/>
      <c r="K936" s="158"/>
      <c r="L936" s="130"/>
      <c r="M936" s="130"/>
      <c r="O936" s="128"/>
    </row>
    <row r="937" spans="1:15" ht="12.75" x14ac:dyDescent="0.2">
      <c r="A937" s="126"/>
      <c r="B937" s="155"/>
      <c r="E937" s="156"/>
      <c r="H937" s="130"/>
      <c r="I937" s="130"/>
      <c r="J937" s="157"/>
      <c r="K937" s="158"/>
      <c r="L937" s="130"/>
      <c r="M937" s="130"/>
      <c r="O937" s="128"/>
    </row>
    <row r="938" spans="1:15" ht="12.75" x14ac:dyDescent="0.2">
      <c r="A938" s="126"/>
      <c r="B938" s="155"/>
      <c r="E938" s="156"/>
      <c r="H938" s="130"/>
      <c r="I938" s="130"/>
      <c r="J938" s="157"/>
      <c r="K938" s="158"/>
      <c r="L938" s="130"/>
      <c r="M938" s="130"/>
      <c r="O938" s="128"/>
    </row>
    <row r="939" spans="1:15" ht="12.75" x14ac:dyDescent="0.2">
      <c r="A939" s="126"/>
      <c r="B939" s="155"/>
      <c r="E939" s="156"/>
      <c r="H939" s="130"/>
      <c r="I939" s="130"/>
      <c r="J939" s="157"/>
      <c r="K939" s="158"/>
      <c r="L939" s="130"/>
      <c r="M939" s="130"/>
      <c r="O939" s="128"/>
    </row>
    <row r="940" spans="1:15" ht="12.75" x14ac:dyDescent="0.2">
      <c r="A940" s="126"/>
      <c r="B940" s="155"/>
      <c r="E940" s="156"/>
      <c r="H940" s="130"/>
      <c r="I940" s="130"/>
      <c r="J940" s="157"/>
      <c r="K940" s="158"/>
      <c r="L940" s="130"/>
      <c r="M940" s="130"/>
      <c r="O940" s="128"/>
    </row>
    <row r="941" spans="1:15" ht="12.75" x14ac:dyDescent="0.2">
      <c r="A941" s="126"/>
      <c r="B941" s="155"/>
      <c r="E941" s="156"/>
      <c r="H941" s="130"/>
      <c r="I941" s="130"/>
      <c r="J941" s="157"/>
      <c r="K941" s="158"/>
      <c r="L941" s="130"/>
      <c r="M941" s="130"/>
      <c r="O941" s="128"/>
    </row>
    <row r="942" spans="1:15" ht="12.75" x14ac:dyDescent="0.2">
      <c r="A942" s="126"/>
      <c r="B942" s="155"/>
      <c r="E942" s="156"/>
      <c r="H942" s="130"/>
      <c r="I942" s="130"/>
      <c r="J942" s="157"/>
      <c r="K942" s="158"/>
      <c r="L942" s="130"/>
      <c r="M942" s="130"/>
      <c r="O942" s="128"/>
    </row>
    <row r="943" spans="1:15" ht="12.75" x14ac:dyDescent="0.2">
      <c r="A943" s="126"/>
      <c r="B943" s="155"/>
      <c r="E943" s="156"/>
      <c r="H943" s="130"/>
      <c r="I943" s="130"/>
      <c r="J943" s="157"/>
      <c r="K943" s="158"/>
      <c r="L943" s="130"/>
      <c r="M943" s="130"/>
      <c r="O943" s="128"/>
    </row>
    <row r="944" spans="1:15" ht="12.75" x14ac:dyDescent="0.2">
      <c r="A944" s="126"/>
      <c r="B944" s="155"/>
      <c r="E944" s="156"/>
      <c r="H944" s="130"/>
      <c r="I944" s="130"/>
      <c r="J944" s="157"/>
      <c r="K944" s="158"/>
      <c r="L944" s="130"/>
      <c r="M944" s="130"/>
      <c r="O944" s="128"/>
    </row>
    <row r="945" spans="1:15" ht="12.75" x14ac:dyDescent="0.2">
      <c r="A945" s="126"/>
      <c r="B945" s="155"/>
      <c r="E945" s="156"/>
      <c r="H945" s="130"/>
      <c r="I945" s="130"/>
      <c r="J945" s="157"/>
      <c r="K945" s="158"/>
      <c r="L945" s="130"/>
      <c r="M945" s="130"/>
      <c r="O945" s="128"/>
    </row>
    <row r="946" spans="1:15" ht="12.75" x14ac:dyDescent="0.2">
      <c r="A946" s="126"/>
      <c r="B946" s="155"/>
      <c r="E946" s="156"/>
      <c r="H946" s="130"/>
      <c r="I946" s="130"/>
      <c r="J946" s="157"/>
      <c r="K946" s="158"/>
      <c r="L946" s="130"/>
      <c r="M946" s="130"/>
      <c r="O946" s="128"/>
    </row>
    <row r="947" spans="1:15" ht="12.75" x14ac:dyDescent="0.2">
      <c r="A947" s="126"/>
      <c r="B947" s="155"/>
      <c r="E947" s="156"/>
      <c r="H947" s="130"/>
      <c r="I947" s="130"/>
      <c r="J947" s="157"/>
      <c r="K947" s="158"/>
      <c r="L947" s="130"/>
      <c r="M947" s="130"/>
      <c r="O947" s="128"/>
    </row>
    <row r="948" spans="1:15" ht="12.75" x14ac:dyDescent="0.2">
      <c r="A948" s="126"/>
      <c r="B948" s="155"/>
      <c r="E948" s="156"/>
      <c r="H948" s="130"/>
      <c r="I948" s="130"/>
      <c r="J948" s="157"/>
      <c r="K948" s="158"/>
      <c r="L948" s="130"/>
      <c r="M948" s="130"/>
      <c r="O948" s="128"/>
    </row>
    <row r="949" spans="1:15" ht="12.75" x14ac:dyDescent="0.2">
      <c r="A949" s="126"/>
      <c r="B949" s="155"/>
      <c r="E949" s="156"/>
      <c r="H949" s="130"/>
      <c r="I949" s="130"/>
      <c r="J949" s="157"/>
      <c r="K949" s="158"/>
      <c r="L949" s="130"/>
      <c r="M949" s="130"/>
      <c r="O949" s="128"/>
    </row>
    <row r="950" spans="1:15" ht="12.75" x14ac:dyDescent="0.2">
      <c r="A950" s="126"/>
      <c r="B950" s="155"/>
      <c r="E950" s="156"/>
      <c r="H950" s="130"/>
      <c r="I950" s="130"/>
      <c r="J950" s="157"/>
      <c r="K950" s="158"/>
      <c r="L950" s="130"/>
      <c r="M950" s="130"/>
      <c r="O950" s="128"/>
    </row>
    <row r="951" spans="1:15" ht="12.75" x14ac:dyDescent="0.2">
      <c r="A951" s="126"/>
      <c r="B951" s="155"/>
      <c r="E951" s="156"/>
      <c r="H951" s="130"/>
      <c r="I951" s="130"/>
      <c r="J951" s="157"/>
      <c r="K951" s="158"/>
      <c r="L951" s="130"/>
      <c r="M951" s="130"/>
      <c r="O951" s="128"/>
    </row>
    <row r="952" spans="1:15" ht="12.75" x14ac:dyDescent="0.2">
      <c r="A952" s="126"/>
      <c r="B952" s="155"/>
      <c r="E952" s="156"/>
      <c r="H952" s="130"/>
      <c r="I952" s="130"/>
      <c r="J952" s="157"/>
      <c r="K952" s="158"/>
      <c r="L952" s="130"/>
      <c r="M952" s="130"/>
      <c r="O952" s="128"/>
    </row>
    <row r="953" spans="1:15" ht="12.75" x14ac:dyDescent="0.2">
      <c r="A953" s="126"/>
      <c r="B953" s="155"/>
      <c r="E953" s="156"/>
      <c r="H953" s="130"/>
      <c r="I953" s="130"/>
      <c r="J953" s="157"/>
      <c r="K953" s="158"/>
      <c r="L953" s="130"/>
      <c r="M953" s="130"/>
      <c r="O953" s="128"/>
    </row>
    <row r="954" spans="1:15" ht="12.75" x14ac:dyDescent="0.2">
      <c r="A954" s="126"/>
      <c r="B954" s="155"/>
      <c r="E954" s="156"/>
      <c r="H954" s="130"/>
      <c r="I954" s="130"/>
      <c r="J954" s="157"/>
      <c r="K954" s="158"/>
      <c r="L954" s="130"/>
      <c r="M954" s="130"/>
      <c r="O954" s="128"/>
    </row>
    <row r="955" spans="1:15" ht="12.75" x14ac:dyDescent="0.2">
      <c r="A955" s="126"/>
      <c r="B955" s="155"/>
      <c r="E955" s="156"/>
      <c r="H955" s="130"/>
      <c r="I955" s="130"/>
      <c r="J955" s="157"/>
      <c r="K955" s="158"/>
      <c r="L955" s="130"/>
      <c r="M955" s="130"/>
      <c r="O955" s="128"/>
    </row>
    <row r="956" spans="1:15" ht="12.75" x14ac:dyDescent="0.2">
      <c r="A956" s="126"/>
      <c r="B956" s="155"/>
      <c r="E956" s="156"/>
      <c r="H956" s="130"/>
      <c r="I956" s="130"/>
      <c r="J956" s="157"/>
      <c r="K956" s="158"/>
      <c r="L956" s="130"/>
      <c r="M956" s="130"/>
      <c r="O956" s="128"/>
    </row>
    <row r="957" spans="1:15" ht="12.75" x14ac:dyDescent="0.2">
      <c r="A957" s="126"/>
      <c r="B957" s="155"/>
      <c r="E957" s="156"/>
      <c r="H957" s="130"/>
      <c r="I957" s="130"/>
      <c r="J957" s="157"/>
      <c r="K957" s="158"/>
      <c r="L957" s="130"/>
      <c r="M957" s="130"/>
      <c r="O957" s="128"/>
    </row>
    <row r="958" spans="1:15" ht="12.75" x14ac:dyDescent="0.2">
      <c r="A958" s="126"/>
      <c r="B958" s="155"/>
      <c r="E958" s="156"/>
      <c r="H958" s="130"/>
      <c r="I958" s="130"/>
      <c r="J958" s="157"/>
      <c r="K958" s="158"/>
      <c r="L958" s="130"/>
      <c r="M958" s="130"/>
      <c r="O958" s="128"/>
    </row>
    <row r="959" spans="1:15" ht="12.75" x14ac:dyDescent="0.2">
      <c r="A959" s="126"/>
      <c r="B959" s="155"/>
      <c r="E959" s="156"/>
      <c r="H959" s="130"/>
      <c r="I959" s="130"/>
      <c r="J959" s="157"/>
      <c r="K959" s="158"/>
      <c r="L959" s="130"/>
      <c r="M959" s="130"/>
      <c r="O959" s="128"/>
    </row>
    <row r="960" spans="1:15" ht="12.75" x14ac:dyDescent="0.2">
      <c r="A960" s="126"/>
      <c r="B960" s="155"/>
      <c r="E960" s="156"/>
      <c r="H960" s="130"/>
      <c r="I960" s="130"/>
      <c r="J960" s="157"/>
      <c r="K960" s="158"/>
      <c r="L960" s="130"/>
      <c r="M960" s="130"/>
      <c r="O960" s="128"/>
    </row>
    <row r="961" spans="1:15" ht="12.75" x14ac:dyDescent="0.2">
      <c r="A961" s="126"/>
      <c r="B961" s="155"/>
      <c r="E961" s="156"/>
      <c r="H961" s="130"/>
      <c r="I961" s="130"/>
      <c r="J961" s="157"/>
      <c r="K961" s="158"/>
      <c r="L961" s="130"/>
      <c r="M961" s="130"/>
      <c r="O961" s="128"/>
    </row>
    <row r="962" spans="1:15" ht="12.75" x14ac:dyDescent="0.2">
      <c r="A962" s="126"/>
      <c r="B962" s="155"/>
      <c r="E962" s="156"/>
      <c r="H962" s="130"/>
      <c r="I962" s="130"/>
      <c r="J962" s="157"/>
      <c r="K962" s="158"/>
      <c r="L962" s="130"/>
      <c r="M962" s="130"/>
      <c r="O962" s="128"/>
    </row>
    <row r="963" spans="1:15" ht="12.75" x14ac:dyDescent="0.2">
      <c r="A963" s="126"/>
      <c r="B963" s="155"/>
      <c r="E963" s="156"/>
      <c r="H963" s="130"/>
      <c r="I963" s="130"/>
      <c r="J963" s="157"/>
      <c r="K963" s="158"/>
      <c r="L963" s="130"/>
      <c r="M963" s="130"/>
      <c r="O963" s="128"/>
    </row>
    <row r="964" spans="1:15" ht="12.75" x14ac:dyDescent="0.2">
      <c r="A964" s="126"/>
      <c r="B964" s="155"/>
      <c r="E964" s="156"/>
      <c r="H964" s="130"/>
      <c r="I964" s="130"/>
      <c r="J964" s="157"/>
      <c r="K964" s="158"/>
      <c r="L964" s="130"/>
      <c r="M964" s="130"/>
      <c r="O964" s="128"/>
    </row>
    <row r="965" spans="1:15" ht="12.75" x14ac:dyDescent="0.2">
      <c r="A965" s="126"/>
      <c r="B965" s="155"/>
      <c r="E965" s="156"/>
      <c r="H965" s="130"/>
      <c r="I965" s="130"/>
      <c r="J965" s="157"/>
      <c r="K965" s="158"/>
      <c r="L965" s="130"/>
      <c r="M965" s="130"/>
      <c r="O965" s="128"/>
    </row>
    <row r="966" spans="1:15" ht="12.75" x14ac:dyDescent="0.2">
      <c r="A966" s="126"/>
      <c r="B966" s="155"/>
      <c r="E966" s="156"/>
      <c r="H966" s="130"/>
      <c r="I966" s="130"/>
      <c r="J966" s="157"/>
      <c r="K966" s="158"/>
      <c r="L966" s="130"/>
      <c r="M966" s="130"/>
      <c r="O966" s="128"/>
    </row>
    <row r="967" spans="1:15" ht="12.75" x14ac:dyDescent="0.2">
      <c r="A967" s="126"/>
      <c r="B967" s="155"/>
      <c r="E967" s="156"/>
      <c r="H967" s="130"/>
      <c r="I967" s="130"/>
      <c r="J967" s="157"/>
      <c r="K967" s="158"/>
      <c r="L967" s="130"/>
      <c r="M967" s="130"/>
      <c r="O967" s="128"/>
    </row>
    <row r="968" spans="1:15" ht="12.75" x14ac:dyDescent="0.2">
      <c r="A968" s="126"/>
      <c r="B968" s="155"/>
      <c r="E968" s="156"/>
      <c r="H968" s="130"/>
      <c r="I968" s="130"/>
      <c r="J968" s="157"/>
      <c r="K968" s="158"/>
      <c r="L968" s="130"/>
      <c r="M968" s="130"/>
      <c r="O968" s="128"/>
    </row>
    <row r="969" spans="1:15" ht="12.75" x14ac:dyDescent="0.2">
      <c r="A969" s="126"/>
      <c r="B969" s="155"/>
      <c r="E969" s="156"/>
      <c r="H969" s="130"/>
      <c r="I969" s="130"/>
      <c r="J969" s="157"/>
      <c r="K969" s="158"/>
      <c r="L969" s="130"/>
      <c r="M969" s="130"/>
      <c r="O969" s="128"/>
    </row>
    <row r="970" spans="1:15" ht="12.75" x14ac:dyDescent="0.2">
      <c r="A970" s="126"/>
      <c r="B970" s="155"/>
      <c r="E970" s="156"/>
      <c r="H970" s="130"/>
      <c r="I970" s="130"/>
      <c r="J970" s="157"/>
      <c r="K970" s="158"/>
      <c r="L970" s="130"/>
      <c r="M970" s="130"/>
      <c r="O970" s="128"/>
    </row>
    <row r="971" spans="1:15" ht="12.75" x14ac:dyDescent="0.2">
      <c r="A971" s="126"/>
      <c r="B971" s="155"/>
      <c r="E971" s="156"/>
      <c r="H971" s="130"/>
      <c r="I971" s="130"/>
      <c r="J971" s="157"/>
      <c r="K971" s="158"/>
      <c r="L971" s="130"/>
      <c r="M971" s="130"/>
      <c r="O971" s="128"/>
    </row>
    <row r="972" spans="1:15" ht="12.75" x14ac:dyDescent="0.2">
      <c r="A972" s="126"/>
      <c r="B972" s="155"/>
      <c r="E972" s="156"/>
      <c r="H972" s="130"/>
      <c r="I972" s="130"/>
      <c r="J972" s="157"/>
      <c r="K972" s="158"/>
      <c r="L972" s="130"/>
      <c r="M972" s="130"/>
      <c r="O972" s="128"/>
    </row>
    <row r="973" spans="1:15" ht="12.75" x14ac:dyDescent="0.2">
      <c r="A973" s="126"/>
      <c r="B973" s="155"/>
      <c r="E973" s="156"/>
      <c r="H973" s="130"/>
      <c r="I973" s="130"/>
      <c r="J973" s="157"/>
      <c r="K973" s="158"/>
      <c r="L973" s="130"/>
      <c r="M973" s="130"/>
      <c r="O973" s="128"/>
    </row>
    <row r="974" spans="1:15" ht="12.75" x14ac:dyDescent="0.2">
      <c r="A974" s="126"/>
      <c r="B974" s="155"/>
      <c r="E974" s="156"/>
      <c r="H974" s="130"/>
      <c r="I974" s="130"/>
      <c r="J974" s="157"/>
      <c r="K974" s="158"/>
      <c r="L974" s="130"/>
      <c r="M974" s="130"/>
      <c r="O974" s="128"/>
    </row>
    <row r="975" spans="1:15" ht="12.75" x14ac:dyDescent="0.2">
      <c r="A975" s="126"/>
      <c r="B975" s="155"/>
      <c r="E975" s="156"/>
      <c r="H975" s="130"/>
      <c r="I975" s="130"/>
      <c r="J975" s="157"/>
      <c r="K975" s="158"/>
      <c r="L975" s="130"/>
      <c r="M975" s="130"/>
      <c r="O975" s="128"/>
    </row>
    <row r="976" spans="1:15" ht="12.75" x14ac:dyDescent="0.2">
      <c r="A976" s="126"/>
      <c r="B976" s="155"/>
      <c r="E976" s="156"/>
      <c r="H976" s="130"/>
      <c r="I976" s="130"/>
      <c r="J976" s="157"/>
      <c r="K976" s="158"/>
      <c r="L976" s="130"/>
      <c r="M976" s="130"/>
      <c r="O976" s="128"/>
    </row>
    <row r="977" spans="1:15" ht="12.75" x14ac:dyDescent="0.2">
      <c r="A977" s="126"/>
      <c r="B977" s="155"/>
      <c r="E977" s="156"/>
      <c r="H977" s="130"/>
      <c r="I977" s="130"/>
      <c r="J977" s="157"/>
      <c r="K977" s="158"/>
      <c r="L977" s="130"/>
      <c r="M977" s="130"/>
      <c r="O977" s="128"/>
    </row>
    <row r="978" spans="1:15" ht="12.75" x14ac:dyDescent="0.2">
      <c r="A978" s="126"/>
      <c r="B978" s="155"/>
      <c r="E978" s="156"/>
      <c r="H978" s="130"/>
      <c r="I978" s="130"/>
      <c r="J978" s="157"/>
      <c r="K978" s="158"/>
      <c r="L978" s="130"/>
      <c r="M978" s="130"/>
      <c r="O978" s="128"/>
    </row>
    <row r="979" spans="1:15" ht="12.75" x14ac:dyDescent="0.2">
      <c r="A979" s="126"/>
      <c r="B979" s="155"/>
      <c r="E979" s="156"/>
      <c r="H979" s="130"/>
      <c r="I979" s="130"/>
      <c r="J979" s="157"/>
      <c r="K979" s="158"/>
      <c r="L979" s="130"/>
      <c r="M979" s="130"/>
      <c r="O979" s="128"/>
    </row>
    <row r="980" spans="1:15" ht="12.75" x14ac:dyDescent="0.2">
      <c r="A980" s="126"/>
      <c r="B980" s="155"/>
      <c r="E980" s="156"/>
      <c r="H980" s="130"/>
      <c r="I980" s="130"/>
      <c r="J980" s="157"/>
      <c r="K980" s="158"/>
      <c r="L980" s="130"/>
      <c r="M980" s="130"/>
      <c r="O980" s="128"/>
    </row>
    <row r="981" spans="1:15" ht="12.75" x14ac:dyDescent="0.2">
      <c r="A981" s="126"/>
      <c r="B981" s="155"/>
      <c r="E981" s="156"/>
      <c r="H981" s="130"/>
      <c r="I981" s="130"/>
      <c r="J981" s="157"/>
      <c r="K981" s="158"/>
      <c r="L981" s="130"/>
      <c r="M981" s="130"/>
      <c r="O981" s="128"/>
    </row>
    <row r="982" spans="1:15" ht="12.75" x14ac:dyDescent="0.2">
      <c r="A982" s="126"/>
      <c r="B982" s="155"/>
      <c r="E982" s="156"/>
      <c r="H982" s="130"/>
      <c r="I982" s="130"/>
      <c r="J982" s="157"/>
      <c r="K982" s="158"/>
      <c r="L982" s="130"/>
      <c r="M982" s="130"/>
      <c r="O982" s="128"/>
    </row>
    <row r="983" spans="1:15" ht="12.75" x14ac:dyDescent="0.2">
      <c r="A983" s="126"/>
      <c r="B983" s="155"/>
      <c r="E983" s="156"/>
      <c r="H983" s="130"/>
      <c r="I983" s="130"/>
      <c r="J983" s="157"/>
      <c r="K983" s="158"/>
      <c r="L983" s="130"/>
      <c r="M983" s="130"/>
      <c r="O983" s="128"/>
    </row>
    <row r="984" spans="1:15" ht="12.75" x14ac:dyDescent="0.2">
      <c r="A984" s="126"/>
      <c r="B984" s="155"/>
      <c r="E984" s="156"/>
      <c r="H984" s="130"/>
      <c r="I984" s="130"/>
      <c r="J984" s="157"/>
      <c r="K984" s="158"/>
      <c r="L984" s="130"/>
      <c r="M984" s="130"/>
      <c r="O984" s="128"/>
    </row>
    <row r="985" spans="1:15" ht="12.75" x14ac:dyDescent="0.2">
      <c r="A985" s="126"/>
      <c r="B985" s="155"/>
      <c r="E985" s="156"/>
      <c r="H985" s="130"/>
      <c r="I985" s="130"/>
      <c r="J985" s="157"/>
      <c r="K985" s="158"/>
      <c r="L985" s="130"/>
      <c r="M985" s="130"/>
      <c r="O985" s="128"/>
    </row>
    <row r="986" spans="1:15" ht="12.75" x14ac:dyDescent="0.2">
      <c r="A986" s="126"/>
      <c r="B986" s="155"/>
      <c r="E986" s="156"/>
      <c r="H986" s="130"/>
      <c r="I986" s="130"/>
      <c r="J986" s="157"/>
      <c r="K986" s="158"/>
      <c r="L986" s="130"/>
      <c r="M986" s="130"/>
      <c r="O986" s="128"/>
    </row>
    <row r="987" spans="1:15" ht="12.75" x14ac:dyDescent="0.2">
      <c r="A987" s="126"/>
      <c r="B987" s="155"/>
      <c r="E987" s="156"/>
      <c r="H987" s="130"/>
      <c r="I987" s="130"/>
      <c r="J987" s="157"/>
      <c r="K987" s="158"/>
      <c r="L987" s="130"/>
      <c r="M987" s="130"/>
      <c r="O987" s="128"/>
    </row>
    <row r="988" spans="1:15" ht="12.75" x14ac:dyDescent="0.2">
      <c r="A988" s="126"/>
      <c r="B988" s="155"/>
      <c r="E988" s="156"/>
      <c r="H988" s="130"/>
      <c r="I988" s="130"/>
      <c r="J988" s="157"/>
      <c r="K988" s="158"/>
      <c r="L988" s="130"/>
      <c r="M988" s="130"/>
      <c r="O988" s="128"/>
    </row>
    <row r="989" spans="1:15" ht="12.75" x14ac:dyDescent="0.2">
      <c r="A989" s="126"/>
      <c r="B989" s="155"/>
      <c r="E989" s="156"/>
      <c r="H989" s="130"/>
      <c r="I989" s="130"/>
      <c r="J989" s="157"/>
      <c r="K989" s="158"/>
      <c r="L989" s="130"/>
      <c r="M989" s="130"/>
      <c r="O989" s="128"/>
    </row>
    <row r="990" spans="1:15" ht="12.75" x14ac:dyDescent="0.2">
      <c r="A990" s="126"/>
      <c r="B990" s="155"/>
      <c r="E990" s="156"/>
      <c r="H990" s="130"/>
      <c r="I990" s="130"/>
      <c r="J990" s="157"/>
      <c r="K990" s="158"/>
      <c r="L990" s="130"/>
      <c r="M990" s="130"/>
      <c r="O990" s="128"/>
    </row>
    <row r="991" spans="1:15" ht="12.75" x14ac:dyDescent="0.2">
      <c r="A991" s="126"/>
      <c r="B991" s="155"/>
      <c r="E991" s="156"/>
      <c r="H991" s="130"/>
      <c r="I991" s="130"/>
      <c r="J991" s="157"/>
      <c r="K991" s="158"/>
      <c r="L991" s="130"/>
      <c r="M991" s="130"/>
      <c r="O991" s="128"/>
    </row>
    <row r="992" spans="1:15" ht="12.75" x14ac:dyDescent="0.2">
      <c r="A992" s="126"/>
      <c r="B992" s="155"/>
      <c r="E992" s="156"/>
      <c r="H992" s="130"/>
      <c r="I992" s="130"/>
      <c r="J992" s="157"/>
      <c r="K992" s="158"/>
      <c r="L992" s="130"/>
      <c r="M992" s="130"/>
      <c r="O992" s="128"/>
    </row>
  </sheetData>
  <dataValidations count="1">
    <dataValidation type="custom" allowBlank="1" showDropDown="1" sqref="B2:O194 C200:H200 J200:O200 C206:H206 J206:O206 C212:H212 J212:O212 C218:H218 J218:O218 C224:H224 J224:O224 C230:H230 J230:O230 C236:H236 J236:O236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5" sqref="M5"/>
    </sheetView>
  </sheetViews>
  <sheetFormatPr defaultColWidth="12.5703125" defaultRowHeight="15.75" customHeight="1" x14ac:dyDescent="0.2"/>
  <cols>
    <col min="1" max="1" width="27.7109375" customWidth="1"/>
    <col min="2" max="2" width="13.42578125" customWidth="1"/>
    <col min="3" max="4" width="12.28515625" customWidth="1"/>
    <col min="5" max="5" width="11.85546875" customWidth="1"/>
    <col min="6" max="6" width="12" customWidth="1"/>
    <col min="7" max="7" width="11.5703125" customWidth="1"/>
    <col min="8" max="8" width="12.7109375" customWidth="1"/>
    <col min="9" max="9" width="11.28515625" customWidth="1"/>
    <col min="10" max="10" width="11.7109375" customWidth="1"/>
    <col min="11" max="11" width="11.85546875" customWidth="1"/>
    <col min="12" max="12" width="13" customWidth="1"/>
  </cols>
  <sheetData>
    <row r="1" spans="1:12" ht="22.5" customHeight="1" x14ac:dyDescent="0.2">
      <c r="A1" s="1" t="s">
        <v>0</v>
      </c>
      <c r="B1" s="173" t="s">
        <v>1</v>
      </c>
      <c r="C1" s="174" t="s">
        <v>56</v>
      </c>
      <c r="D1" s="174" t="s">
        <v>57</v>
      </c>
      <c r="E1" s="175" t="s">
        <v>58</v>
      </c>
      <c r="F1" s="175" t="s">
        <v>59</v>
      </c>
      <c r="G1" s="174" t="s">
        <v>60</v>
      </c>
      <c r="H1" s="174" t="s">
        <v>61</v>
      </c>
      <c r="I1" s="176" t="s">
        <v>62</v>
      </c>
      <c r="J1" s="177" t="s">
        <v>63</v>
      </c>
      <c r="K1" s="178" t="s">
        <v>14</v>
      </c>
      <c r="L1" s="178" t="s">
        <v>64</v>
      </c>
    </row>
    <row r="2" spans="1:12" ht="22.5" customHeight="1" x14ac:dyDescent="0.2">
      <c r="A2" s="8" t="s">
        <v>15</v>
      </c>
      <c r="B2" s="15">
        <v>2020</v>
      </c>
      <c r="C2" s="132">
        <f>'RAW DATA'!G3/'RAW DATA'!H3</f>
        <v>1.6764207547628245</v>
      </c>
      <c r="D2" s="132">
        <f>'RAW DATA'!G3/'RAW DATA'!E3</f>
        <v>0.62636666965743337</v>
      </c>
      <c r="E2" s="132">
        <f>'RAW DATA'!L3/'RAW DATA'!H3</f>
        <v>1.5864475557341034E-2</v>
      </c>
      <c r="F2" s="132">
        <f>'RAW DATA'!D3/'RAW DATA'!E3</f>
        <v>0.6157928927199996</v>
      </c>
      <c r="G2" s="132">
        <f>'RAW DATA'!C3/'RAW DATA'!F3</f>
        <v>1.8958829954092178</v>
      </c>
      <c r="H2" s="132">
        <f>('RAW DATA'!I3-'RAW DATA'!I2)/'RAW DATA'!I2</f>
        <v>0.30688373864602159</v>
      </c>
      <c r="I2" s="133">
        <f>LN('RAW DATA'!E3)</f>
        <v>31.045179471971164</v>
      </c>
      <c r="J2" s="132">
        <f>'RAW DATA'!K3/'RAW DATA'!J3</f>
        <v>0.17103104977816871</v>
      </c>
      <c r="K2" s="132">
        <f>LN('RAW DATA'!O3)</f>
        <v>2.3025850929940459</v>
      </c>
      <c r="L2" s="133">
        <f>'RAW DATA'!M3/'RAW DATA'!E3</f>
        <v>6.2102201834090247E-3</v>
      </c>
    </row>
    <row r="3" spans="1:12" ht="22.5" customHeight="1" x14ac:dyDescent="0.2">
      <c r="A3" s="8" t="s">
        <v>15</v>
      </c>
      <c r="B3" s="9">
        <v>2021</v>
      </c>
      <c r="C3" s="132">
        <f>'RAW DATA'!G4/'RAW DATA'!H4</f>
        <v>1.8094625989302651</v>
      </c>
      <c r="D3" s="132">
        <f>'RAW DATA'!G4/'RAW DATA'!E4</f>
        <v>0.64406004180986021</v>
      </c>
      <c r="E3" s="132">
        <f>'RAW DATA'!L4/'RAW DATA'!H4</f>
        <v>-4.6037748302865528E-2</v>
      </c>
      <c r="F3" s="132">
        <f>'RAW DATA'!D4/'RAW DATA'!E4</f>
        <v>0.5961349885502758</v>
      </c>
      <c r="G3" s="132">
        <f>'RAW DATA'!C4/'RAW DATA'!F4</f>
        <v>1.6349913589753697</v>
      </c>
      <c r="H3" s="132">
        <f>('RAW DATA'!I4-'RAW DATA'!I3)/'RAW DATA'!I3</f>
        <v>-0.14124969556574854</v>
      </c>
      <c r="I3" s="133">
        <f>LN('RAW DATA'!E4)</f>
        <v>31.019170784963706</v>
      </c>
      <c r="J3" s="132">
        <f>'RAW DATA'!K4/'RAW DATA'!J4</f>
        <v>0.33095653293131688</v>
      </c>
      <c r="K3" s="132">
        <f>LN('RAW DATA'!O4)</f>
        <v>2.3978952727983707</v>
      </c>
      <c r="L3" s="133">
        <f>'RAW DATA'!M4/'RAW DATA'!E4</f>
        <v>9.6555749001269835E-3</v>
      </c>
    </row>
    <row r="4" spans="1:12" ht="22.5" customHeight="1" x14ac:dyDescent="0.2">
      <c r="A4" s="8" t="s">
        <v>15</v>
      </c>
      <c r="B4" s="19">
        <v>2022</v>
      </c>
      <c r="C4" s="132">
        <f>'RAW DATA'!G5/'RAW DATA'!H5</f>
        <v>1.2950111521487491</v>
      </c>
      <c r="D4" s="132">
        <f>'RAW DATA'!G5/'RAW DATA'!E5</f>
        <v>0.5642722698476953</v>
      </c>
      <c r="E4" s="132">
        <f>'RAW DATA'!L5/'RAW DATA'!H5</f>
        <v>0.18195591476263895</v>
      </c>
      <c r="F4" s="132">
        <f>'RAW DATA'!D5/'RAW DATA'!E5</f>
        <v>0.60502226027512429</v>
      </c>
      <c r="G4" s="132">
        <f>'RAW DATA'!C5/'RAW DATA'!F5</f>
        <v>1.9584646325986361</v>
      </c>
      <c r="H4" s="132">
        <f>('RAW DATA'!I5-'RAW DATA'!I4)/'RAW DATA'!I4</f>
        <v>1.0355558210895381</v>
      </c>
      <c r="I4" s="133">
        <f>LN('RAW DATA'!E5)</f>
        <v>30.985049379750421</v>
      </c>
      <c r="J4" s="132">
        <f>'RAW DATA'!K5/'RAW DATA'!J5</f>
        <v>8.3012289582563126E-2</v>
      </c>
      <c r="K4" s="132">
        <f>LN('RAW DATA'!O5)</f>
        <v>2.4849066497880004</v>
      </c>
      <c r="L4" s="133">
        <f>'RAW DATA'!M5/'RAW DATA'!E5</f>
        <v>8.7857933321149936E-3</v>
      </c>
    </row>
    <row r="5" spans="1:12" ht="22.5" customHeight="1" x14ac:dyDescent="0.2">
      <c r="A5" s="8" t="s">
        <v>15</v>
      </c>
      <c r="B5" s="19">
        <v>2023</v>
      </c>
      <c r="C5" s="132">
        <f>'RAW DATA'!G6/'RAW DATA'!H6</f>
        <v>1.1059177605939103</v>
      </c>
      <c r="D5" s="132">
        <f>'RAW DATA'!G6/'RAW DATA'!E6</f>
        <v>0.52514764882462439</v>
      </c>
      <c r="E5" s="132">
        <f>'RAW DATA'!L6/'RAW DATA'!H6</f>
        <v>8.6572280850822081E-2</v>
      </c>
      <c r="F5" s="132">
        <f>'RAW DATA'!D6/'RAW DATA'!E6</f>
        <v>0.60777052396956022</v>
      </c>
      <c r="G5" s="132">
        <f>'RAW DATA'!C6/'RAW DATA'!F6</f>
        <v>1.3012906015560777</v>
      </c>
      <c r="H5" s="132">
        <f>('RAW DATA'!I6-'RAW DATA'!I5)/'RAW DATA'!I5</f>
        <v>-0.4602093295423802</v>
      </c>
      <c r="I5" s="133">
        <f>LN('RAW DATA'!E6)</f>
        <v>30.974856002174587</v>
      </c>
      <c r="J5" s="132">
        <f>'RAW DATA'!K6/'RAW DATA'!J6</f>
        <v>0.21232701521131656</v>
      </c>
      <c r="K5" s="132">
        <f>LN('RAW DATA'!O6)</f>
        <v>2.5649493574615367</v>
      </c>
      <c r="L5" s="133">
        <f>'RAW DATA'!M6/'RAW DATA'!E6</f>
        <v>8.5640860997401192E-3</v>
      </c>
    </row>
    <row r="6" spans="1:12" ht="22.5" customHeight="1" x14ac:dyDescent="0.2">
      <c r="A6" s="8" t="s">
        <v>15</v>
      </c>
      <c r="B6" s="23">
        <v>2024</v>
      </c>
      <c r="C6" s="132">
        <f>'RAW DATA'!G7/'RAW DATA'!H7</f>
        <v>0.8949710326946374</v>
      </c>
      <c r="D6" s="132">
        <f>'RAW DATA'!G7/'RAW DATA'!E7</f>
        <v>0.47228744780440995</v>
      </c>
      <c r="E6" s="132">
        <f>'RAW DATA'!L7/'RAW DATA'!H7</f>
        <v>5.5901344814265751E-2</v>
      </c>
      <c r="F6" s="132">
        <f>'RAW DATA'!D7/'RAW DATA'!E7</f>
        <v>0.58404072118497685</v>
      </c>
      <c r="G6" s="132">
        <f>'RAW DATA'!C7/'RAW DATA'!F7</f>
        <v>2.4332274345968101</v>
      </c>
      <c r="H6" s="132">
        <f>('RAW DATA'!I7-'RAW DATA'!I6)/'RAW DATA'!I6</f>
        <v>0.19246786107652525</v>
      </c>
      <c r="I6" s="133">
        <f>LN('RAW DATA'!E7)</f>
        <v>30.893710070566801</v>
      </c>
      <c r="J6" s="132">
        <f>'RAW DATA'!K7/'RAW DATA'!J7</f>
        <v>0.14419424043391169</v>
      </c>
      <c r="K6" s="132">
        <f>LN('RAW DATA'!O7)</f>
        <v>2.6390573296152584</v>
      </c>
      <c r="L6" s="133">
        <f>'RAW DATA'!M7/'RAW DATA'!E7</f>
        <v>7.9384332975567587E-3</v>
      </c>
    </row>
    <row r="7" spans="1:12" ht="22.5" customHeight="1" x14ac:dyDescent="0.2">
      <c r="A7" s="26" t="s">
        <v>16</v>
      </c>
      <c r="B7" s="27">
        <v>2020</v>
      </c>
      <c r="C7" s="134">
        <f>'RAW DATA'!G9/'RAW DATA'!H9</f>
        <v>1.2615044078290047</v>
      </c>
      <c r="D7" s="132">
        <f>'RAW DATA'!G9/'RAW DATA'!E9</f>
        <v>0.55781647095705711</v>
      </c>
      <c r="E7" s="132">
        <f>'RAW DATA'!L9/'RAW DATA'!H9</f>
        <v>-0.11044124596583307</v>
      </c>
      <c r="F7" s="132">
        <f>'RAW DATA'!D9/'RAW DATA'!E9</f>
        <v>0.89843030312826055</v>
      </c>
      <c r="G7" s="132">
        <f>'RAW DATA'!C9/'RAW DATA'!F9</f>
        <v>0.6741376877044829</v>
      </c>
      <c r="H7" s="132">
        <f>('RAW DATA'!I9-'RAW DATA'!I8)/'RAW DATA'!I8</f>
        <v>-0.5933880251695125</v>
      </c>
      <c r="I7" s="133">
        <f>LN('RAW DATA'!E9)</f>
        <v>30.686286350760259</v>
      </c>
      <c r="J7" s="132">
        <f>'RAW DATA'!K9/'RAW DATA'!J9</f>
        <v>0.65621462813504294</v>
      </c>
      <c r="K7" s="132">
        <f>LN('RAW DATA'!O9)</f>
        <v>2.5649493574615367</v>
      </c>
      <c r="L7" s="133">
        <f>'RAW DATA'!M9/'RAW DATA'!E9</f>
        <v>4.9441171762127818E-3</v>
      </c>
    </row>
    <row r="8" spans="1:12" ht="22.5" customHeight="1" x14ac:dyDescent="0.2">
      <c r="A8" s="26" t="s">
        <v>16</v>
      </c>
      <c r="B8" s="19">
        <v>2021</v>
      </c>
      <c r="C8" s="134">
        <f>'RAW DATA'!G10/'RAW DATA'!H10</f>
        <v>1.3001011809950347</v>
      </c>
      <c r="D8" s="132">
        <f>'RAW DATA'!G10/'RAW DATA'!E10</f>
        <v>0.56523651730512336</v>
      </c>
      <c r="E8" s="132">
        <f>'RAW DATA'!L10/'RAW DATA'!H10</f>
        <v>1.4988194477463156E-2</v>
      </c>
      <c r="F8" s="132">
        <f>'RAW DATA'!D10/'RAW DATA'!E10</f>
        <v>0.86165737935937337</v>
      </c>
      <c r="G8" s="132">
        <f>'RAW DATA'!C10/'RAW DATA'!F10</f>
        <v>0.83517300716902487</v>
      </c>
      <c r="H8" s="132">
        <f>('RAW DATA'!I10-'RAW DATA'!I9)/'RAW DATA'!I9</f>
        <v>1.0147318387586033</v>
      </c>
      <c r="I8" s="133">
        <f>LN('RAW DATA'!E10)</f>
        <v>30.719057907443798</v>
      </c>
      <c r="J8" s="132">
        <f>'RAW DATA'!K10/'RAW DATA'!J10</f>
        <v>7.8513215639118422E-2</v>
      </c>
      <c r="K8" s="132">
        <f>LN('RAW DATA'!O10)</f>
        <v>2.6390573296152584</v>
      </c>
      <c r="L8" s="133">
        <f>'RAW DATA'!M10/'RAW DATA'!E10</f>
        <v>2.8504044896201296E-3</v>
      </c>
    </row>
    <row r="9" spans="1:12" ht="22.5" customHeight="1" x14ac:dyDescent="0.2">
      <c r="A9" s="26" t="s">
        <v>16</v>
      </c>
      <c r="B9" s="19">
        <v>2022</v>
      </c>
      <c r="C9" s="134">
        <f>'RAW DATA'!G11/'RAW DATA'!H11</f>
        <v>1.0952468195048088</v>
      </c>
      <c r="D9" s="132">
        <f>'RAW DATA'!G11/'RAW DATA'!E11</f>
        <v>0.52272926001322351</v>
      </c>
      <c r="E9" s="132">
        <f>'RAW DATA'!L11/'RAW DATA'!H11</f>
        <v>0.1032043302187086</v>
      </c>
      <c r="F9" s="132">
        <f>'RAW DATA'!D11/'RAW DATA'!E11</f>
        <v>0.83693481789775359</v>
      </c>
      <c r="G9" s="132">
        <f>'RAW DATA'!C11/'RAW DATA'!F11</f>
        <v>0.97807109482927701</v>
      </c>
      <c r="H9" s="132">
        <f>('RAW DATA'!I11-'RAW DATA'!I10)/'RAW DATA'!I10</f>
        <v>0.57815959893734881</v>
      </c>
      <c r="I9" s="133">
        <f>LN('RAW DATA'!E11)</f>
        <v>30.735559599107688</v>
      </c>
      <c r="J9" s="132">
        <f>'RAW DATA'!K11/'RAW DATA'!J11</f>
        <v>5.7734629666620157E-2</v>
      </c>
      <c r="K9" s="132">
        <f>LN('RAW DATA'!O11)</f>
        <v>2.7080502011022101</v>
      </c>
      <c r="L9" s="133">
        <f>'RAW DATA'!M11/'RAW DATA'!E11</f>
        <v>2.7543299622549778E-3</v>
      </c>
    </row>
    <row r="10" spans="1:12" ht="22.5" customHeight="1" x14ac:dyDescent="0.2">
      <c r="A10" s="26" t="s">
        <v>16</v>
      </c>
      <c r="B10" s="19">
        <v>2023</v>
      </c>
      <c r="C10" s="134">
        <f>'RAW DATA'!G12/'RAW DATA'!H12</f>
        <v>0.97283917890590432</v>
      </c>
      <c r="D10" s="132">
        <f>'RAW DATA'!G12/'RAW DATA'!E12</f>
        <v>0.49311631140933687</v>
      </c>
      <c r="E10" s="132">
        <f>'RAW DATA'!L12/'RAW DATA'!H12</f>
        <v>5.6572561881621838E-2</v>
      </c>
      <c r="F10" s="132">
        <f>'RAW DATA'!D12/'RAW DATA'!E12</f>
        <v>0.869343839707715</v>
      </c>
      <c r="G10" s="132">
        <f>'RAW DATA'!C12/'RAW DATA'!F12</f>
        <v>0.78773689333856944</v>
      </c>
      <c r="H10" s="132">
        <f>('RAW DATA'!I12-'RAW DATA'!I11)/'RAW DATA'!I11</f>
        <v>-0.11961988977016708</v>
      </c>
      <c r="I10" s="133">
        <f>LN('RAW DATA'!E12)</f>
        <v>30.732744365238624</v>
      </c>
      <c r="J10" s="132">
        <f>'RAW DATA'!K12/'RAW DATA'!J12</f>
        <v>7.7696014289882973E-2</v>
      </c>
      <c r="K10" s="132">
        <f>LN('RAW DATA'!O12)</f>
        <v>2.7725887222397811</v>
      </c>
      <c r="L10" s="133">
        <f>'RAW DATA'!M12/'RAW DATA'!E12</f>
        <v>2.225320062141968E-3</v>
      </c>
    </row>
    <row r="11" spans="1:12" ht="22.5" customHeight="1" x14ac:dyDescent="0.2">
      <c r="A11" s="26" t="s">
        <v>16</v>
      </c>
      <c r="B11" s="23">
        <v>2024</v>
      </c>
      <c r="C11" s="134">
        <f>'RAW DATA'!G13/'RAW DATA'!H13</f>
        <v>0.94244332710244438</v>
      </c>
      <c r="D11" s="132">
        <f>'RAW DATA'!G13/'RAW DATA'!E13</f>
        <v>0.48518446533433401</v>
      </c>
      <c r="E11" s="132">
        <f>'RAW DATA'!L13/'RAW DATA'!H13</f>
        <v>5.746123342439847E-3</v>
      </c>
      <c r="F11" s="132">
        <f>'RAW DATA'!D13/'RAW DATA'!E13</f>
        <v>0.87137364131487949</v>
      </c>
      <c r="G11" s="132">
        <f>'RAW DATA'!C13/'RAW DATA'!F13</f>
        <v>0.76455950712284637</v>
      </c>
      <c r="H11" s="132">
        <f>('RAW DATA'!I13-'RAW DATA'!I12)/'RAW DATA'!I12</f>
        <v>-0.13212243074436089</v>
      </c>
      <c r="I11" s="133">
        <f>LN('RAW DATA'!E13)</f>
        <v>30.722928260470031</v>
      </c>
      <c r="J11" s="132">
        <f>'RAW DATA'!K13/'RAW DATA'!J13</f>
        <v>8.4770198874291408E-2</v>
      </c>
      <c r="K11" s="132">
        <f>LN('RAW DATA'!O13)</f>
        <v>2.8332133440562162</v>
      </c>
      <c r="L11" s="133">
        <f>'RAW DATA'!M13/'RAW DATA'!E13</f>
        <v>2.4504296732660012E-3</v>
      </c>
    </row>
    <row r="12" spans="1:12" ht="22.5" customHeight="1" x14ac:dyDescent="0.2">
      <c r="A12" s="36" t="s">
        <v>17</v>
      </c>
      <c r="B12" s="37">
        <v>2020</v>
      </c>
      <c r="C12" s="135">
        <f>'RAW DATA'!G15/'RAW DATA'!H15</f>
        <v>6.0346123565845573E-2</v>
      </c>
      <c r="D12" s="135">
        <f>'RAW DATA'!G15/'RAW DATA'!E15</f>
        <v>5.6911721771478886E-2</v>
      </c>
      <c r="E12" s="132">
        <f>'RAW DATA'!L15/'RAW DATA'!H15</f>
        <v>-2.7851028422651105E-2</v>
      </c>
      <c r="F12" s="132">
        <f>'RAW DATA'!D15/'RAW DATA'!E15</f>
        <v>0.81992589319746523</v>
      </c>
      <c r="G12" s="132">
        <f>'RAW DATA'!C15/'RAW DATA'!F15</f>
        <v>3.4418336663676672</v>
      </c>
      <c r="H12" s="132">
        <f>('RAW DATA'!I15-'RAW DATA'!I14)/'RAW DATA'!I14</f>
        <v>-0.60720201638817917</v>
      </c>
      <c r="I12" s="133">
        <f>LN('RAW DATA'!E15)</f>
        <v>25.681250923686019</v>
      </c>
      <c r="J12" s="132">
        <f>'RAW DATA'!K15/'RAW DATA'!J15</f>
        <v>-0.15650039732468049</v>
      </c>
      <c r="K12" s="136">
        <f>LN('RAW DATA'!O15)</f>
        <v>2.4849066497880004</v>
      </c>
      <c r="L12" s="137">
        <f>'RAW DATA'!M15/'RAW DATA'!E15</f>
        <v>3.4452493191633711E-3</v>
      </c>
    </row>
    <row r="13" spans="1:12" ht="22.5" customHeight="1" x14ac:dyDescent="0.2">
      <c r="A13" s="36" t="s">
        <v>17</v>
      </c>
      <c r="B13" s="42">
        <v>2021</v>
      </c>
      <c r="C13" s="135">
        <f>'RAW DATA'!G16/'RAW DATA'!H16</f>
        <v>5.4162315546973261E-2</v>
      </c>
      <c r="D13" s="135">
        <f>'RAW DATA'!G16/'RAW DATA'!E16</f>
        <v>5.137948373621197E-2</v>
      </c>
      <c r="E13" s="132">
        <f>'RAW DATA'!L16/'RAW DATA'!H16</f>
        <v>-1.5500429066084176E-2</v>
      </c>
      <c r="F13" s="132">
        <f>'RAW DATA'!D16/'RAW DATA'!E16</f>
        <v>0.82602568933612841</v>
      </c>
      <c r="G13" s="132">
        <f>'RAW DATA'!C16/'RAW DATA'!F16</f>
        <v>3.5747239113541167</v>
      </c>
      <c r="H13" s="132">
        <f>('RAW DATA'!I16-'RAW DATA'!I15)/'RAW DATA'!I15</f>
        <v>-0.34921834631094412</v>
      </c>
      <c r="I13" s="133">
        <f>LN('RAW DATA'!E16)</f>
        <v>25.661839257375394</v>
      </c>
      <c r="J13" s="132">
        <f>'RAW DATA'!K16/'RAW DATA'!J16</f>
        <v>-0.16645986725819101</v>
      </c>
      <c r="K13" s="136">
        <f>LN('RAW DATA'!O16)</f>
        <v>2.5649493574615367</v>
      </c>
      <c r="L13" s="137">
        <f>'RAW DATA'!M16/'RAW DATA'!E16</f>
        <v>3.5167799317583066E-3</v>
      </c>
    </row>
    <row r="14" spans="1:12" ht="22.5" customHeight="1" x14ac:dyDescent="0.2">
      <c r="A14" s="36" t="s">
        <v>17</v>
      </c>
      <c r="B14" s="42">
        <v>2022</v>
      </c>
      <c r="C14" s="135">
        <f>'RAW DATA'!G17/'RAW DATA'!H17</f>
        <v>5.1139713012263451E-2</v>
      </c>
      <c r="D14" s="135">
        <f>'RAW DATA'!G17/'RAW DATA'!E17</f>
        <v>4.8651680056604245E-2</v>
      </c>
      <c r="E14" s="132">
        <f>'RAW DATA'!L17/'RAW DATA'!H17</f>
        <v>-2.8810390270501807E-2</v>
      </c>
      <c r="F14" s="132">
        <f>'RAW DATA'!D17/'RAW DATA'!E17</f>
        <v>0.83131733107780792</v>
      </c>
      <c r="G14" s="132">
        <f>'RAW DATA'!C17/'RAW DATA'!F17</f>
        <v>3.5792151669135204</v>
      </c>
      <c r="H14" s="132">
        <f>('RAW DATA'!I17-'RAW DATA'!I16)/'RAW DATA'!I16</f>
        <v>-0.40013298726381841</v>
      </c>
      <c r="I14" s="133">
        <f>LN('RAW DATA'!E17)</f>
        <v>25.631750373321886</v>
      </c>
      <c r="J14" s="132">
        <f>'RAW DATA'!K17/'RAW DATA'!J17</f>
        <v>-6.1678463039440412E-2</v>
      </c>
      <c r="K14" s="136">
        <f>LN('RAW DATA'!O17)</f>
        <v>2.6390573296152584</v>
      </c>
      <c r="L14" s="137">
        <f>'RAW DATA'!M17/'RAW DATA'!E17</f>
        <v>2.8896312966068568E-3</v>
      </c>
    </row>
    <row r="15" spans="1:12" ht="22.5" customHeight="1" x14ac:dyDescent="0.2">
      <c r="A15" s="36" t="s">
        <v>17</v>
      </c>
      <c r="B15" s="42">
        <v>2023</v>
      </c>
      <c r="C15" s="135">
        <f>'RAW DATA'!G18/'RAW DATA'!H18</f>
        <v>7.2037153898413059E-2</v>
      </c>
      <c r="D15" s="135">
        <f>'RAW DATA'!G18/'RAW DATA'!E18</f>
        <v>6.7196508662459423E-2</v>
      </c>
      <c r="E15" s="132">
        <f>'RAW DATA'!L18/'RAW DATA'!H18</f>
        <v>-2.2713297255247972E-2</v>
      </c>
      <c r="F15" s="132">
        <f>'RAW DATA'!D18/'RAW DATA'!E18</f>
        <v>0.82731607452043598</v>
      </c>
      <c r="G15" s="132">
        <f>'RAW DATA'!C18/'RAW DATA'!F18</f>
        <v>2.7126399873437634</v>
      </c>
      <c r="H15" s="132">
        <f>('RAW DATA'!I18-'RAW DATA'!I17)/'RAW DATA'!I17</f>
        <v>1.1850928843002342</v>
      </c>
      <c r="I15" s="133">
        <f>LN('RAW DATA'!E18)</f>
        <v>25.627520292773458</v>
      </c>
      <c r="J15" s="132">
        <f>'RAW DATA'!K18/'RAW DATA'!J18</f>
        <v>-0.14391868888811768</v>
      </c>
      <c r="K15" s="136">
        <f>LN('RAW DATA'!O18)</f>
        <v>2.7080502011022101</v>
      </c>
      <c r="L15" s="137">
        <f>'RAW DATA'!M18/'RAW DATA'!E18</f>
        <v>3.7915292248843994E-3</v>
      </c>
    </row>
    <row r="16" spans="1:12" ht="22.5" customHeight="1" x14ac:dyDescent="0.2">
      <c r="A16" s="138" t="s">
        <v>17</v>
      </c>
      <c r="B16" s="44">
        <v>2024</v>
      </c>
      <c r="C16" s="135">
        <f>'RAW DATA'!G19/'RAW DATA'!H19</f>
        <v>9.9969711064575362E-2</v>
      </c>
      <c r="D16" s="135">
        <f>'RAW DATA'!G19/'RAW DATA'!E19</f>
        <v>9.088405804176411E-2</v>
      </c>
      <c r="E16" s="132">
        <f>'RAW DATA'!L19/'RAW DATA'!H19</f>
        <v>-3.7908470607672648E-2</v>
      </c>
      <c r="F16" s="132">
        <f>'RAW DATA'!D19/'RAW DATA'!E19</f>
        <v>0.82076472079614704</v>
      </c>
      <c r="G16" s="132">
        <f>'RAW DATA'!C19/'RAW DATA'!F19</f>
        <v>2.2092786833528844</v>
      </c>
      <c r="H16" s="132">
        <f>('RAW DATA'!I19-'RAW DATA'!I18)/'RAW DATA'!I18</f>
        <v>-0.49924165746613913</v>
      </c>
      <c r="I16" s="133">
        <f>LN('RAW DATA'!E19)</f>
        <v>25.611213736615266</v>
      </c>
      <c r="J16" s="132">
        <f>'RAW DATA'!K19/'RAW DATA'!J19</f>
        <v>-3.9460189129025984E-2</v>
      </c>
      <c r="K16" s="136">
        <f>LN('RAW DATA'!O19)</f>
        <v>2.7725887222397811</v>
      </c>
      <c r="L16" s="137">
        <f>'RAW DATA'!M19/'RAW DATA'!E19</f>
        <v>3.5862732964780219E-3</v>
      </c>
    </row>
    <row r="17" spans="1:12" ht="22.5" customHeight="1" x14ac:dyDescent="0.2">
      <c r="A17" s="139" t="s">
        <v>18</v>
      </c>
      <c r="B17" s="37">
        <v>2020</v>
      </c>
      <c r="C17" s="132">
        <f>'RAW DATA'!G21/'RAW DATA'!H21</f>
        <v>1.036007015066035</v>
      </c>
      <c r="D17" s="132">
        <f>'RAW DATA'!G21/'RAW DATA'!E21</f>
        <v>0.50884255672981249</v>
      </c>
      <c r="E17" s="132">
        <f>'RAW DATA'!L21/'RAW DATA'!H21</f>
        <v>2.9088787407347591E-2</v>
      </c>
      <c r="F17" s="132">
        <f>'RAW DATA'!D21/'RAW DATA'!E21</f>
        <v>0.56473831187364554</v>
      </c>
      <c r="G17" s="132">
        <f>'RAW DATA'!C21/'RAW DATA'!F21</f>
        <v>1.2837068922053279</v>
      </c>
      <c r="H17" s="132">
        <f>('RAW DATA'!I21-'RAW DATA'!I20)/'RAW DATA'!I20</f>
        <v>-0.44196526793632152</v>
      </c>
      <c r="I17" s="133">
        <f>LN('RAW DATA'!E21)</f>
        <v>27.535901826832731</v>
      </c>
      <c r="J17" s="132">
        <f>'RAW DATA'!K21/'RAW DATA'!J21</f>
        <v>-0.38877707050658772</v>
      </c>
      <c r="K17" s="132">
        <f>LN('RAW DATA'!O21)</f>
        <v>2.3978952727983707</v>
      </c>
      <c r="L17" s="133">
        <f>'RAW DATA'!M21/'RAW DATA'!E21</f>
        <v>2.5539870877596296E-3</v>
      </c>
    </row>
    <row r="18" spans="1:12" ht="22.5" customHeight="1" x14ac:dyDescent="0.2">
      <c r="A18" s="139" t="s">
        <v>18</v>
      </c>
      <c r="B18" s="42">
        <v>2021</v>
      </c>
      <c r="C18" s="132">
        <f>'RAW DATA'!G22/'RAW DATA'!H22</f>
        <v>0.98584453881430567</v>
      </c>
      <c r="D18" s="132">
        <f>'RAW DATA'!G22/'RAW DATA'!E22</f>
        <v>0.49643590902786727</v>
      </c>
      <c r="E18" s="132">
        <f>'RAW DATA'!L22/'RAW DATA'!H22</f>
        <v>2.7799391665041397E-4</v>
      </c>
      <c r="F18" s="132">
        <f>'RAW DATA'!D22/'RAW DATA'!E22</f>
        <v>0.60799524987519926</v>
      </c>
      <c r="G18" s="132">
        <f>'RAW DATA'!C22/'RAW DATA'!F22</f>
        <v>3.438036201464068</v>
      </c>
      <c r="H18" s="132">
        <f>('RAW DATA'!I22-'RAW DATA'!I21)/'RAW DATA'!I21</f>
        <v>-0.1742282568661444</v>
      </c>
      <c r="I18" s="133">
        <f>LN('RAW DATA'!E22)</f>
        <v>27.5111931894779</v>
      </c>
      <c r="J18" s="132">
        <f>'RAW DATA'!K22/'RAW DATA'!J22</f>
        <v>-1.2509857405057216</v>
      </c>
      <c r="K18" s="132">
        <f>LN('RAW DATA'!O22)</f>
        <v>2.4849066497880004</v>
      </c>
      <c r="L18" s="133">
        <f>'RAW DATA'!M22/'RAW DATA'!E22</f>
        <v>3.2887295971472915E-3</v>
      </c>
    </row>
    <row r="19" spans="1:12" ht="22.5" customHeight="1" x14ac:dyDescent="0.2">
      <c r="A19" s="139" t="s">
        <v>18</v>
      </c>
      <c r="B19" s="42">
        <v>2022</v>
      </c>
      <c r="C19" s="132">
        <f>'RAW DATA'!G23/'RAW DATA'!H23</f>
        <v>0.90629161271607328</v>
      </c>
      <c r="D19" s="132">
        <f>'RAW DATA'!G23/'RAW DATA'!E23</f>
        <v>0.47542128741980305</v>
      </c>
      <c r="E19" s="132">
        <f>'RAW DATA'!L23/'RAW DATA'!H23</f>
        <v>3.6795710398703524E-2</v>
      </c>
      <c r="F19" s="132">
        <f>'RAW DATA'!D23/'RAW DATA'!E23</f>
        <v>0.58562553090792469</v>
      </c>
      <c r="G19" s="132">
        <f>'RAW DATA'!C23/'RAW DATA'!F23</f>
        <v>4.4724016978004828</v>
      </c>
      <c r="H19" s="132">
        <f>('RAW DATA'!I23-'RAW DATA'!I22)/'RAW DATA'!I22</f>
        <v>0.55179176823253628</v>
      </c>
      <c r="I19" s="133">
        <f>LN('RAW DATA'!E23)</f>
        <v>27.507761940815147</v>
      </c>
      <c r="J19" s="132">
        <f>'RAW DATA'!K23/'RAW DATA'!J23</f>
        <v>0.3343599527097168</v>
      </c>
      <c r="K19" s="132">
        <f>LN('RAW DATA'!O23)</f>
        <v>2.5649493574615367</v>
      </c>
      <c r="L19" s="133">
        <f>'RAW DATA'!M23/'RAW DATA'!E23</f>
        <v>2.5693300796351846E-3</v>
      </c>
    </row>
    <row r="20" spans="1:12" ht="22.5" customHeight="1" x14ac:dyDescent="0.2">
      <c r="A20" s="139" t="s">
        <v>18</v>
      </c>
      <c r="B20" s="42">
        <v>2023</v>
      </c>
      <c r="C20" s="132">
        <f>'RAW DATA'!G24/'RAW DATA'!H24</f>
        <v>0.89321119356585454</v>
      </c>
      <c r="D20" s="132">
        <f>'RAW DATA'!G24/'RAW DATA'!E24</f>
        <v>0.47179691130153067</v>
      </c>
      <c r="E20" s="132">
        <f>'RAW DATA'!L24/'RAW DATA'!H24</f>
        <v>3.5948031179531756E-2</v>
      </c>
      <c r="F20" s="132">
        <f>'RAW DATA'!D24/'RAW DATA'!E24</f>
        <v>0.58261224353043395</v>
      </c>
      <c r="G20" s="132">
        <f>'RAW DATA'!C24/'RAW DATA'!F24</f>
        <v>4.4979731452034564</v>
      </c>
      <c r="H20" s="132">
        <f>('RAW DATA'!I24-'RAW DATA'!I23)/'RAW DATA'!I23</f>
        <v>5.9736708372861253E-3</v>
      </c>
      <c r="I20" s="133">
        <f>LN('RAW DATA'!E24)</f>
        <v>27.537405309957006</v>
      </c>
      <c r="J20" s="132">
        <f>'RAW DATA'!K24/'RAW DATA'!J24</f>
        <v>0.34050626544856671</v>
      </c>
      <c r="K20" s="132">
        <f>LN('RAW DATA'!O24)</f>
        <v>2.6390573296152584</v>
      </c>
      <c r="L20" s="133">
        <f>'RAW DATA'!M24/'RAW DATA'!E24</f>
        <v>2.3739532295478003E-3</v>
      </c>
    </row>
    <row r="21" spans="1:12" ht="22.5" customHeight="1" x14ac:dyDescent="0.2">
      <c r="A21" s="140" t="s">
        <v>18</v>
      </c>
      <c r="B21" s="44">
        <v>2024</v>
      </c>
      <c r="C21" s="132">
        <f>'RAW DATA'!G25/'RAW DATA'!H25</f>
        <v>0.85413990095501446</v>
      </c>
      <c r="D21" s="132">
        <f>'RAW DATA'!G25/'RAW DATA'!E25</f>
        <v>0.46066637178514491</v>
      </c>
      <c r="E21" s="132">
        <f>'RAW DATA'!L25/'RAW DATA'!H25</f>
        <v>3.0929403248082753E-2</v>
      </c>
      <c r="F21" s="132">
        <f>'RAW DATA'!D25/'RAW DATA'!E25</f>
        <v>0.6080136306378503</v>
      </c>
      <c r="G21" s="132">
        <f>'RAW DATA'!C25/'RAW DATA'!F25</f>
        <v>3.4899277779819537</v>
      </c>
      <c r="H21" s="132">
        <f>('RAW DATA'!I25-'RAW DATA'!I24)/'RAW DATA'!I24</f>
        <v>6.0435044482786013E-2</v>
      </c>
      <c r="I21" s="133">
        <f>LN('RAW DATA'!E25)</f>
        <v>27.542735117631661</v>
      </c>
      <c r="J21" s="132">
        <f>'RAW DATA'!K25/'RAW DATA'!J25</f>
        <v>0.48377584537696156</v>
      </c>
      <c r="K21" s="132">
        <f>LN('RAW DATA'!O25)</f>
        <v>2.7080502011022101</v>
      </c>
      <c r="L21" s="133">
        <f>'RAW DATA'!M25/'RAW DATA'!E25</f>
        <v>2.934528095791145E-3</v>
      </c>
    </row>
    <row r="22" spans="1:12" ht="22.5" customHeight="1" x14ac:dyDescent="0.2">
      <c r="A22" s="139" t="s">
        <v>19</v>
      </c>
      <c r="B22" s="37">
        <v>2020</v>
      </c>
      <c r="C22" s="132">
        <f>'RAW DATA'!G27/'RAW DATA'!H27</f>
        <v>0.44197261346718292</v>
      </c>
      <c r="D22" s="132">
        <f>'RAW DATA'!G27/'RAW DATA'!E27</f>
        <v>0.30650555311482103</v>
      </c>
      <c r="E22" s="132">
        <f>'RAW DATA'!L27/'RAW DATA'!H27</f>
        <v>-2.6446799078918268E-2</v>
      </c>
      <c r="F22" s="132">
        <f>'RAW DATA'!D27/'RAW DATA'!E27</f>
        <v>0.56657924945999893</v>
      </c>
      <c r="G22" s="132">
        <f>'RAW DATA'!C27/'RAW DATA'!F27</f>
        <v>10.526264176185411</v>
      </c>
      <c r="H22" s="132">
        <f>('RAW DATA'!I27-'RAW DATA'!I26)/'RAW DATA'!I26</f>
        <v>-0.74507197302639627</v>
      </c>
      <c r="I22" s="133">
        <f>LN('RAW DATA'!E27)</f>
        <v>29.468738206498468</v>
      </c>
      <c r="J22" s="132">
        <f>'RAW DATA'!K27/'RAW DATA'!J27</f>
        <v>0.26254511547802212</v>
      </c>
      <c r="K22" s="132">
        <f>LN('RAW DATA'!O27)</f>
        <v>2.0794415416798357</v>
      </c>
      <c r="L22" s="133">
        <f>'RAW DATA'!M27/'RAW DATA'!E27</f>
        <v>2.5263183365684897E-3</v>
      </c>
    </row>
    <row r="23" spans="1:12" ht="22.5" customHeight="1" x14ac:dyDescent="0.2">
      <c r="A23" s="139" t="s">
        <v>19</v>
      </c>
      <c r="B23" s="42">
        <v>2021</v>
      </c>
      <c r="C23" s="132">
        <f>'RAW DATA'!G28/'RAW DATA'!H28</f>
        <v>0.40809430199007812</v>
      </c>
      <c r="D23" s="132">
        <f>'RAW DATA'!G28/'RAW DATA'!E28</f>
        <v>0.28982029215892224</v>
      </c>
      <c r="E23" s="132">
        <f>'RAW DATA'!L28/'RAW DATA'!H28</f>
        <v>-1.6557224717745466E-2</v>
      </c>
      <c r="F23" s="132">
        <f>'RAW DATA'!D28/'RAW DATA'!E28</f>
        <v>0.58441513606046125</v>
      </c>
      <c r="G23" s="132">
        <f>'RAW DATA'!C28/'RAW DATA'!F28</f>
        <v>5.8086003046824466</v>
      </c>
      <c r="H23" s="132">
        <f>('RAW DATA'!I28-'RAW DATA'!I27)/'RAW DATA'!I27</f>
        <v>-5.1522403226235192E-2</v>
      </c>
      <c r="I23" s="133">
        <f>LN('RAW DATA'!E28)</f>
        <v>29.4304531399209</v>
      </c>
      <c r="J23" s="132">
        <f>'RAW DATA'!K28/'RAW DATA'!J28</f>
        <v>0.20837119812862259</v>
      </c>
      <c r="K23" s="132">
        <f>LN('RAW DATA'!O28)</f>
        <v>2.1972245773362196</v>
      </c>
      <c r="L23" s="133">
        <f>'RAW DATA'!M28/'RAW DATA'!E28</f>
        <v>2.3941415569399675E-3</v>
      </c>
    </row>
    <row r="24" spans="1:12" ht="22.5" customHeight="1" x14ac:dyDescent="0.2">
      <c r="A24" s="139" t="s">
        <v>19</v>
      </c>
      <c r="B24" s="42">
        <v>2022</v>
      </c>
      <c r="C24" s="132">
        <f>'RAW DATA'!G29/'RAW DATA'!H29</f>
        <v>0.40428859822194957</v>
      </c>
      <c r="D24" s="132">
        <f>'RAW DATA'!G29/'RAW DATA'!E29</f>
        <v>0.28789566384989707</v>
      </c>
      <c r="E24" s="132">
        <f>'RAW DATA'!L29/'RAW DATA'!H29</f>
        <v>7.7924317551272505E-3</v>
      </c>
      <c r="F24" s="132">
        <f>'RAW DATA'!D29/'RAW DATA'!E29</f>
        <v>0.57437492317180272</v>
      </c>
      <c r="G24" s="132">
        <f>'RAW DATA'!C29/'RAW DATA'!F29</f>
        <v>9.241397256223868</v>
      </c>
      <c r="H24" s="132">
        <f>('RAW DATA'!I29-'RAW DATA'!I28)/'RAW DATA'!I28</f>
        <v>1.361834469150508</v>
      </c>
      <c r="I24" s="133">
        <f>LN('RAW DATA'!E29)</f>
        <v>29.435773956020238</v>
      </c>
      <c r="J24" s="132">
        <f>'RAW DATA'!K29/'RAW DATA'!J29</f>
        <v>6.2946284513025502E-2</v>
      </c>
      <c r="K24" s="132">
        <f>LN('RAW DATA'!O29)</f>
        <v>2.3025850929940459</v>
      </c>
      <c r="L24" s="133">
        <f>'RAW DATA'!M29/'RAW DATA'!E29</f>
        <v>2.2064301219152016E-3</v>
      </c>
    </row>
    <row r="25" spans="1:12" ht="22.5" customHeight="1" x14ac:dyDescent="0.2">
      <c r="A25" s="139" t="s">
        <v>19</v>
      </c>
      <c r="B25" s="42">
        <v>2023</v>
      </c>
      <c r="C25" s="132">
        <f>'RAW DATA'!G30/'RAW DATA'!H30</f>
        <v>0.3599769482072756</v>
      </c>
      <c r="D25" s="132">
        <f>'RAW DATA'!G30/'RAW DATA'!E30</f>
        <v>0.26469341901846055</v>
      </c>
      <c r="E25" s="132">
        <f>'RAW DATA'!L30/'RAW DATA'!H30</f>
        <v>9.0499106271346857E-3</v>
      </c>
      <c r="F25" s="132">
        <f>'RAW DATA'!D30/'RAW DATA'!E30</f>
        <v>0.59100334543989663</v>
      </c>
      <c r="G25" s="132">
        <f>'RAW DATA'!C30/'RAW DATA'!F30</f>
        <v>10.030641318344379</v>
      </c>
      <c r="H25" s="132">
        <f>('RAW DATA'!I30-'RAW DATA'!I29)/'RAW DATA'!I29</f>
        <v>2.7280250550362783E-3</v>
      </c>
      <c r="I25" s="133">
        <f>LN('RAW DATA'!E30)</f>
        <v>29.412747816340719</v>
      </c>
      <c r="J25" s="132">
        <f>'RAW DATA'!K30/'RAW DATA'!J30</f>
        <v>5.7826194232684515E-2</v>
      </c>
      <c r="K25" s="132">
        <f>LN('RAW DATA'!O30)</f>
        <v>2.3978952727983707</v>
      </c>
      <c r="L25" s="133">
        <f>'RAW DATA'!M30/'RAW DATA'!E30</f>
        <v>2.3537780098208754E-3</v>
      </c>
    </row>
    <row r="26" spans="1:12" ht="22.5" customHeight="1" x14ac:dyDescent="0.2">
      <c r="A26" s="139" t="s">
        <v>19</v>
      </c>
      <c r="B26" s="44">
        <v>2024</v>
      </c>
      <c r="C26" s="132">
        <f>'RAW DATA'!G31/'RAW DATA'!H31</f>
        <v>0.31653775499934322</v>
      </c>
      <c r="D26" s="132">
        <f>'RAW DATA'!G31/'RAW DATA'!E31</f>
        <v>0.24043196163371794</v>
      </c>
      <c r="E26" s="132">
        <f>'RAW DATA'!L31/'RAW DATA'!H31</f>
        <v>1.3235459308575944E-2</v>
      </c>
      <c r="F26" s="132">
        <f>'RAW DATA'!D31/'RAW DATA'!E31</f>
        <v>0.60778674814373113</v>
      </c>
      <c r="G26" s="132">
        <f>'RAW DATA'!C31/'RAW DATA'!F31</f>
        <v>9.9152985381743566</v>
      </c>
      <c r="H26" s="132">
        <f>('RAW DATA'!I31-'RAW DATA'!I30)/'RAW DATA'!I30</f>
        <v>-0.15932892640360832</v>
      </c>
      <c r="I26" s="133">
        <f>LN('RAW DATA'!E31)</f>
        <v>29.393559173159392</v>
      </c>
      <c r="J26" s="132">
        <f>'RAW DATA'!K31/'RAW DATA'!J31</f>
        <v>7.7906943762131961E-2</v>
      </c>
      <c r="K26" s="132">
        <f>LN('RAW DATA'!O31)</f>
        <v>2.4849066497880004</v>
      </c>
      <c r="L26" s="133">
        <f>'RAW DATA'!M31/'RAW DATA'!E31</f>
        <v>2.4049450913092387E-3</v>
      </c>
    </row>
    <row r="27" spans="1:12" ht="22.5" customHeight="1" x14ac:dyDescent="0.2">
      <c r="A27" s="139" t="s">
        <v>20</v>
      </c>
      <c r="B27" s="37">
        <v>2020</v>
      </c>
      <c r="C27" s="132">
        <f>'RAW DATA'!G33/'RAW DATA'!H33</f>
        <v>0.76190902131868832</v>
      </c>
      <c r="D27" s="132">
        <f>'RAW DATA'!G33/'RAW DATA'!E33</f>
        <v>0.43243380452666219</v>
      </c>
      <c r="E27" s="132">
        <f>'RAW DATA'!L33/'RAW DATA'!H33</f>
        <v>7.7934931919969239E-2</v>
      </c>
      <c r="F27" s="132">
        <f>'RAW DATA'!D33/'RAW DATA'!E33</f>
        <v>0.53566564350296308</v>
      </c>
      <c r="G27" s="132">
        <f>'RAW DATA'!C33/'RAW DATA'!F33</f>
        <v>2.6091823853076024</v>
      </c>
      <c r="H27" s="132">
        <f>('RAW DATA'!I33-'RAW DATA'!I32)/'RAW DATA'!I32</f>
        <v>0.47561785639782811</v>
      </c>
      <c r="I27" s="133">
        <f>LN('RAW DATA'!E33)</f>
        <v>28.385510463308634</v>
      </c>
      <c r="J27" s="132">
        <f>'RAW DATA'!K33/'RAW DATA'!J33</f>
        <v>0.11749504099440712</v>
      </c>
      <c r="K27" s="132">
        <f>LN('RAW DATA'!O33)</f>
        <v>3.2188758248682006</v>
      </c>
      <c r="L27" s="133">
        <f>'RAW DATA'!M33/'RAW DATA'!E33</f>
        <v>3.3439885331391691E-3</v>
      </c>
    </row>
    <row r="28" spans="1:12" ht="22.5" customHeight="1" x14ac:dyDescent="0.2">
      <c r="A28" s="139" t="s">
        <v>20</v>
      </c>
      <c r="B28" s="42">
        <v>2021</v>
      </c>
      <c r="C28" s="132">
        <f>'RAW DATA'!G34/'RAW DATA'!H34</f>
        <v>0.85383601623895156</v>
      </c>
      <c r="D28" s="132">
        <f>'RAW DATA'!G34/'RAW DATA'!E34</f>
        <v>0.46057796307745036</v>
      </c>
      <c r="E28" s="132">
        <f>'RAW DATA'!L34/'RAW DATA'!H34</f>
        <v>1.7726055637413789E-2</v>
      </c>
      <c r="F28" s="132">
        <f>'RAW DATA'!D34/'RAW DATA'!E34</f>
        <v>0.65012639235084368</v>
      </c>
      <c r="G28" s="132">
        <f>'RAW DATA'!C34/'RAW DATA'!F34</f>
        <v>1.7098387746033428</v>
      </c>
      <c r="H28" s="132">
        <f>('RAW DATA'!I34-'RAW DATA'!I33)/'RAW DATA'!I33</f>
        <v>-0.44513119841914822</v>
      </c>
      <c r="I28" s="133">
        <f>LN('RAW DATA'!E34)</f>
        <v>28.346557374182282</v>
      </c>
      <c r="J28" s="132">
        <f>'RAW DATA'!K34/'RAW DATA'!J34</f>
        <v>0.17927754757090819</v>
      </c>
      <c r="K28" s="132">
        <f>LN('RAW DATA'!O34)</f>
        <v>3.2580965380214821</v>
      </c>
      <c r="L28" s="133">
        <f>'RAW DATA'!M34/'RAW DATA'!E34</f>
        <v>3.3473261421392386E-3</v>
      </c>
    </row>
    <row r="29" spans="1:12" ht="22.5" customHeight="1" x14ac:dyDescent="0.2">
      <c r="A29" s="139" t="s">
        <v>20</v>
      </c>
      <c r="B29" s="42">
        <v>2022</v>
      </c>
      <c r="C29" s="132">
        <f>'RAW DATA'!G35/'RAW DATA'!H35</f>
        <v>0.74530509381379295</v>
      </c>
      <c r="D29" s="132">
        <f>'RAW DATA'!G35/'RAW DATA'!E35</f>
        <v>0.42703427409655503</v>
      </c>
      <c r="E29" s="132">
        <f>'RAW DATA'!L35/'RAW DATA'!H35</f>
        <v>2.335934286004197E-2</v>
      </c>
      <c r="F29" s="132">
        <f>'RAW DATA'!D35/'RAW DATA'!E35</f>
        <v>0.69644782481252787</v>
      </c>
      <c r="G29" s="132">
        <f>'RAW DATA'!C35/'RAW DATA'!F35</f>
        <v>2.3138454776464057</v>
      </c>
      <c r="H29" s="132">
        <f>('RAW DATA'!I35-'RAW DATA'!I34)/'RAW DATA'!I34</f>
        <v>0.11336900681800274</v>
      </c>
      <c r="I29" s="133">
        <f>LN('RAW DATA'!E35)</f>
        <v>28.266717402281095</v>
      </c>
      <c r="J29" s="132">
        <f>'RAW DATA'!K35/'RAW DATA'!J35</f>
        <v>0.16576873715437712</v>
      </c>
      <c r="K29" s="132">
        <f>LN('RAW DATA'!O35)</f>
        <v>3.2958368660043291</v>
      </c>
      <c r="L29" s="133">
        <f>'RAW DATA'!M35/'RAW DATA'!E35</f>
        <v>4.2306740421600361E-3</v>
      </c>
    </row>
    <row r="30" spans="1:12" ht="22.5" customHeight="1" x14ac:dyDescent="0.2">
      <c r="A30" s="139" t="s">
        <v>20</v>
      </c>
      <c r="B30" s="42">
        <v>2023</v>
      </c>
      <c r="C30" s="132">
        <f>'RAW DATA'!G36/'RAW DATA'!H36</f>
        <v>0.84666107752981234</v>
      </c>
      <c r="D30" s="132">
        <f>'RAW DATA'!G36/'RAW DATA'!E36</f>
        <v>0.45848211555005491</v>
      </c>
      <c r="E30" s="132">
        <f>'RAW DATA'!L36/'RAW DATA'!H36</f>
        <v>-4.2461299735716508E-3</v>
      </c>
      <c r="F30" s="132">
        <f>'RAW DATA'!D36/'RAW DATA'!E36</f>
        <v>0.73795949715197495</v>
      </c>
      <c r="G30" s="132">
        <f>'RAW DATA'!C36/'RAW DATA'!F36</f>
        <v>1.9803017823837354</v>
      </c>
      <c r="H30" s="132">
        <f>('RAW DATA'!I36-'RAW DATA'!I35)/'RAW DATA'!I35</f>
        <v>-0.19325341030972443</v>
      </c>
      <c r="I30" s="133">
        <f>LN('RAW DATA'!E36)</f>
        <v>28.296449591853449</v>
      </c>
      <c r="J30" s="132">
        <f>'RAW DATA'!K36/'RAW DATA'!J36</f>
        <v>0.17288772582713241</v>
      </c>
      <c r="K30" s="132">
        <f>LN('RAW DATA'!O36)</f>
        <v>3.3322045101752038</v>
      </c>
      <c r="L30" s="133">
        <f>'RAW DATA'!M36/'RAW DATA'!E36</f>
        <v>5.402426044331895E-3</v>
      </c>
    </row>
    <row r="31" spans="1:12" ht="22.5" customHeight="1" x14ac:dyDescent="0.2">
      <c r="A31" s="139" t="s">
        <v>20</v>
      </c>
      <c r="B31" s="44">
        <v>2024</v>
      </c>
      <c r="C31" s="132">
        <f>'RAW DATA'!G37/'RAW DATA'!H37</f>
        <v>0.81891949219747084</v>
      </c>
      <c r="D31" s="132">
        <f>'RAW DATA'!G37/'RAW DATA'!E37</f>
        <v>0.45022305589134065</v>
      </c>
      <c r="E31" s="132">
        <f>'RAW DATA'!L37/'RAW DATA'!H37</f>
        <v>-6.3049148103224949E-3</v>
      </c>
      <c r="F31" s="132">
        <f>'RAW DATA'!D37/'RAW DATA'!E37</f>
        <v>0.7765988558575373</v>
      </c>
      <c r="G31" s="132">
        <f>'RAW DATA'!C37/'RAW DATA'!F37</f>
        <v>1.8218199613900141</v>
      </c>
      <c r="H31" s="132">
        <f>('RAW DATA'!I37-'RAW DATA'!I36)/'RAW DATA'!I36</f>
        <v>-2.0856833897894798E-2</v>
      </c>
      <c r="I31" s="133">
        <f>LN('RAW DATA'!E37)</f>
        <v>28.252141110248154</v>
      </c>
      <c r="J31" s="132">
        <f>'RAW DATA'!K37/'RAW DATA'!J37</f>
        <v>0.27943139457547322</v>
      </c>
      <c r="K31" s="132">
        <f>LN('RAW DATA'!O37)</f>
        <v>3.3672958299864741</v>
      </c>
      <c r="L31" s="133">
        <f>'RAW DATA'!M37/'RAW DATA'!E37</f>
        <v>6.0173100478005132E-3</v>
      </c>
    </row>
    <row r="32" spans="1:12" ht="22.5" customHeight="1" x14ac:dyDescent="0.2">
      <c r="A32" s="139" t="s">
        <v>21</v>
      </c>
      <c r="B32" s="37">
        <v>2020</v>
      </c>
      <c r="C32" s="132">
        <f>'RAW DATA'!G39/'RAW DATA'!H39</f>
        <v>0.64302802750134191</v>
      </c>
      <c r="D32" s="132">
        <f>'RAW DATA'!G39/'RAW DATA'!E39</f>
        <v>0.3913676557783593</v>
      </c>
      <c r="E32" s="132">
        <f>'RAW DATA'!L39/'RAW DATA'!H39</f>
        <v>-6.4508871922201311E-2</v>
      </c>
      <c r="F32" s="132">
        <f>'RAW DATA'!D39/'RAW DATA'!E39</f>
        <v>0.89008357665095406</v>
      </c>
      <c r="G32" s="132">
        <f>'RAW DATA'!C39/'RAW DATA'!F39</f>
        <v>0.5063824502615919</v>
      </c>
      <c r="H32" s="132">
        <f>('RAW DATA'!I39-'RAW DATA'!I38)/'RAW DATA'!I38</f>
        <v>-0.44394544177755135</v>
      </c>
      <c r="I32" s="133">
        <f>LN('RAW DATA'!E39)</f>
        <v>27.396361730595558</v>
      </c>
      <c r="J32" s="132">
        <f>'RAW DATA'!K39/'RAW DATA'!J39</f>
        <v>-4.3149660881949915E-2</v>
      </c>
      <c r="K32" s="132">
        <f>LN('RAW DATA'!O39)</f>
        <v>2.5649493574615367</v>
      </c>
      <c r="L32" s="133">
        <f>'RAW DATA'!M39/'RAW DATA'!E39</f>
        <v>3.8675715519700237E-3</v>
      </c>
    </row>
    <row r="33" spans="1:12" ht="22.5" customHeight="1" x14ac:dyDescent="0.2">
      <c r="A33" s="139" t="s">
        <v>21</v>
      </c>
      <c r="B33" s="42">
        <v>2021</v>
      </c>
      <c r="C33" s="132">
        <f>'RAW DATA'!G40/'RAW DATA'!H40</f>
        <v>0.73354756711967684</v>
      </c>
      <c r="D33" s="132">
        <f>'RAW DATA'!G40/'RAW DATA'!E40</f>
        <v>0.4231482198890455</v>
      </c>
      <c r="E33" s="132">
        <f>'RAW DATA'!L40/'RAW DATA'!H40</f>
        <v>-8.1198398543756087E-2</v>
      </c>
      <c r="F33" s="132">
        <f>'RAW DATA'!D40/'RAW DATA'!E40</f>
        <v>0.89334733717783776</v>
      </c>
      <c r="G33" s="132">
        <f>'RAW DATA'!C40/'RAW DATA'!F40</f>
        <v>0.76108392738826258</v>
      </c>
      <c r="H33" s="132">
        <f>('RAW DATA'!I40-'RAW DATA'!I39)/'RAW DATA'!I39</f>
        <v>0.19649037530359911</v>
      </c>
      <c r="I33" s="133">
        <f>LN('RAW DATA'!E40)</f>
        <v>27.375018053897328</v>
      </c>
      <c r="J33" s="132">
        <f>'RAW DATA'!K40/'RAW DATA'!J40</f>
        <v>-7.8875747309329058E-2</v>
      </c>
      <c r="K33" s="132">
        <f>LN('RAW DATA'!O40)</f>
        <v>2.6390573296152584</v>
      </c>
      <c r="L33" s="133">
        <f>'RAW DATA'!M40/'RAW DATA'!E40</f>
        <v>1.784751583495567E-3</v>
      </c>
    </row>
    <row r="34" spans="1:12" ht="22.5" customHeight="1" x14ac:dyDescent="0.2">
      <c r="A34" s="139" t="s">
        <v>21</v>
      </c>
      <c r="B34" s="42">
        <v>2022</v>
      </c>
      <c r="C34" s="132">
        <f>'RAW DATA'!G41/'RAW DATA'!H41</f>
        <v>0.83062912928820398</v>
      </c>
      <c r="D34" s="132">
        <f>'RAW DATA'!G41/'RAW DATA'!E41</f>
        <v>0.45373970947904457</v>
      </c>
      <c r="E34" s="132">
        <f>'RAW DATA'!L41/'RAW DATA'!H41</f>
        <v>-7.9874798637459804E-2</v>
      </c>
      <c r="F34" s="132">
        <f>'RAW DATA'!D41/'RAW DATA'!E41</f>
        <v>0.91125283030524906</v>
      </c>
      <c r="G34" s="132">
        <f>'RAW DATA'!C41/'RAW DATA'!F41</f>
        <v>0.5182735504586875</v>
      </c>
      <c r="H34" s="132">
        <f>('RAW DATA'!I41-'RAW DATA'!I40)/'RAW DATA'!I40</f>
        <v>0.11255585552653656</v>
      </c>
      <c r="I34" s="133">
        <f>LN('RAW DATA'!E41)</f>
        <v>27.351967982683668</v>
      </c>
      <c r="J34" s="132">
        <f>'RAW DATA'!K41/'RAW DATA'!J41</f>
        <v>-0.125204814179499</v>
      </c>
      <c r="K34" s="132">
        <f>LN('RAW DATA'!O41)</f>
        <v>2.7080502011022101</v>
      </c>
      <c r="L34" s="133">
        <f>'RAW DATA'!M41/'RAW DATA'!E41</f>
        <v>1.4389770876634851E-3</v>
      </c>
    </row>
    <row r="35" spans="1:12" ht="22.5" customHeight="1" x14ac:dyDescent="0.2">
      <c r="A35" s="139" t="s">
        <v>21</v>
      </c>
      <c r="B35" s="42">
        <v>2023</v>
      </c>
      <c r="C35" s="132">
        <f>'RAW DATA'!G42/'RAW DATA'!H42</f>
        <v>0.9853988843129956</v>
      </c>
      <c r="D35" s="132">
        <f>'RAW DATA'!G42/'RAW DATA'!E42</f>
        <v>0.49632287602129488</v>
      </c>
      <c r="E35" s="132">
        <f>'RAW DATA'!L42/'RAW DATA'!H42</f>
        <v>-9.0583577704575285E-2</v>
      </c>
      <c r="F35" s="132">
        <f>'RAW DATA'!D42/'RAW DATA'!E42</f>
        <v>0.92216362062081314</v>
      </c>
      <c r="G35" s="132">
        <f>'RAW DATA'!C42/'RAW DATA'!F42</f>
        <v>0.37130931444207854</v>
      </c>
      <c r="H35" s="132">
        <f>('RAW DATA'!I42-'RAW DATA'!I41)/'RAW DATA'!I41</f>
        <v>0.19878353416017411</v>
      </c>
      <c r="I35" s="133">
        <f>LN('RAW DATA'!E42)</f>
        <v>27.354263948553413</v>
      </c>
      <c r="J35" s="132">
        <f>'RAW DATA'!K42/'RAW DATA'!J42</f>
        <v>-0.10122785566762761</v>
      </c>
      <c r="K35" s="132">
        <f>LN('RAW DATA'!O42)</f>
        <v>2.7725887222397811</v>
      </c>
      <c r="L35" s="133">
        <f>'RAW DATA'!M42/'RAW DATA'!E42</f>
        <v>1.3752269143766744E-3</v>
      </c>
    </row>
    <row r="36" spans="1:12" ht="22.5" customHeight="1" x14ac:dyDescent="0.2">
      <c r="A36" s="139" t="s">
        <v>21</v>
      </c>
      <c r="B36" s="44">
        <v>2024</v>
      </c>
      <c r="C36" s="132">
        <f>'RAW DATA'!G43/'RAW DATA'!H43</f>
        <v>1.1756088537583238</v>
      </c>
      <c r="D36" s="132">
        <f>'RAW DATA'!G43/'RAW DATA'!E43</f>
        <v>0.5403585537572535</v>
      </c>
      <c r="E36" s="132">
        <f>'RAW DATA'!L43/'RAW DATA'!H43</f>
        <v>-0.10386882113298927</v>
      </c>
      <c r="F36" s="132">
        <f>'RAW DATA'!D43/'RAW DATA'!E43</f>
        <v>0.92541704368452493</v>
      </c>
      <c r="G36" s="132">
        <f>'RAW DATA'!C43/'RAW DATA'!F43</f>
        <v>0.30593420616014244</v>
      </c>
      <c r="H36" s="132">
        <f>('RAW DATA'!I43-'RAW DATA'!I42)/'RAW DATA'!I42</f>
        <v>-2.213510381600757E-2</v>
      </c>
      <c r="I36" s="133">
        <f>LN('RAW DATA'!E43)</f>
        <v>27.346328121616345</v>
      </c>
      <c r="J36" s="132">
        <f>'RAW DATA'!K43/'RAW DATA'!J43</f>
        <v>-0.10183738729942546</v>
      </c>
      <c r="K36" s="132">
        <f>LN('RAW DATA'!O43)</f>
        <v>2.8332133440562162</v>
      </c>
      <c r="L36" s="133">
        <f>'RAW DATA'!M43/'RAW DATA'!E43</f>
        <v>1.3493652850354444E-3</v>
      </c>
    </row>
    <row r="37" spans="1:12" ht="22.5" customHeight="1" x14ac:dyDescent="0.2">
      <c r="A37" s="139" t="s">
        <v>22</v>
      </c>
      <c r="B37" s="37">
        <v>2020</v>
      </c>
      <c r="C37" s="132">
        <f>'RAW DATA'!G45/'RAW DATA'!H45</f>
        <v>0.7922978141244168</v>
      </c>
      <c r="D37" s="132">
        <f>'RAW DATA'!G45/'RAW DATA'!E45</f>
        <v>0.44205701077165821</v>
      </c>
      <c r="E37" s="132">
        <f>'RAW DATA'!L45/'RAW DATA'!H45</f>
        <v>-5.4272820366863317E-2</v>
      </c>
      <c r="F37" s="132">
        <f>'RAW DATA'!D45/'RAW DATA'!E45</f>
        <v>0.7502218931340503</v>
      </c>
      <c r="G37" s="132">
        <f>'RAW DATA'!C45/'RAW DATA'!F45</f>
        <v>1.4032123411646944</v>
      </c>
      <c r="H37" s="132">
        <f>('RAW DATA'!I45-'RAW DATA'!I44)/'RAW DATA'!I44</f>
        <v>-0.52508172844866774</v>
      </c>
      <c r="I37" s="133">
        <f>LN('RAW DATA'!E45)</f>
        <v>30.541806968484163</v>
      </c>
      <c r="J37" s="132">
        <f>'RAW DATA'!K45/'RAW DATA'!J45</f>
        <v>0.95081985761225996</v>
      </c>
      <c r="K37" s="132">
        <f>LN('RAW DATA'!O45)</f>
        <v>3.1354942159291497</v>
      </c>
      <c r="L37" s="133">
        <f>'RAW DATA'!M45/'RAW DATA'!E45</f>
        <v>7.2718215791957872E-4</v>
      </c>
    </row>
    <row r="38" spans="1:12" ht="22.5" customHeight="1" x14ac:dyDescent="0.2">
      <c r="A38" s="139" t="s">
        <v>22</v>
      </c>
      <c r="B38" s="42">
        <v>2021</v>
      </c>
      <c r="C38" s="132">
        <f>'RAW DATA'!G46/'RAW DATA'!H46</f>
        <v>0.58829969940159488</v>
      </c>
      <c r="D38" s="132">
        <f>'RAW DATA'!G46/'RAW DATA'!E46</f>
        <v>0.37039590174526993</v>
      </c>
      <c r="E38" s="132">
        <f>'RAW DATA'!L46/'RAW DATA'!H46</f>
        <v>2.1864320690517292E-2</v>
      </c>
      <c r="F38" s="132">
        <f>'RAW DATA'!D46/'RAW DATA'!E46</f>
        <v>0.72052655473059868</v>
      </c>
      <c r="G38" s="132">
        <f>'RAW DATA'!C46/'RAW DATA'!F46</f>
        <v>2.8337615044812137</v>
      </c>
      <c r="H38" s="132">
        <f>('RAW DATA'!I46-'RAW DATA'!I45)/'RAW DATA'!I45</f>
        <v>1.0155249117384211</v>
      </c>
      <c r="I38" s="133">
        <f>LN('RAW DATA'!E46)</f>
        <v>30.443730947415535</v>
      </c>
      <c r="J38" s="132">
        <f>'RAW DATA'!K46/'RAW DATA'!J46</f>
        <v>0.18023769584924515</v>
      </c>
      <c r="K38" s="132">
        <f>LN('RAW DATA'!O46)</f>
        <v>3.1780538303479458</v>
      </c>
      <c r="L38" s="133">
        <f>'RAW DATA'!M46/'RAW DATA'!E46</f>
        <v>7.0482991881015407E-4</v>
      </c>
    </row>
    <row r="39" spans="1:12" ht="22.5" customHeight="1" x14ac:dyDescent="0.2">
      <c r="A39" s="139" t="s">
        <v>22</v>
      </c>
      <c r="B39" s="42">
        <v>2022</v>
      </c>
      <c r="C39" s="132">
        <f>'RAW DATA'!G47/'RAW DATA'!H47</f>
        <v>0.61982163521945721</v>
      </c>
      <c r="D39" s="132">
        <f>'RAW DATA'!G47/'RAW DATA'!E47</f>
        <v>0.38264807787647703</v>
      </c>
      <c r="E39" s="132">
        <f>'RAW DATA'!L47/'RAW DATA'!H47</f>
        <v>-1.6185157175146122E-2</v>
      </c>
      <c r="F39" s="132">
        <f>'RAW DATA'!D47/'RAW DATA'!E47</f>
        <v>0.73198375711770536</v>
      </c>
      <c r="G39" s="132">
        <f>'RAW DATA'!C47/'RAW DATA'!F47</f>
        <v>2.022031722218625</v>
      </c>
      <c r="H39" s="132">
        <f>('RAW DATA'!I47-'RAW DATA'!I46)/'RAW DATA'!I46</f>
        <v>-0.26178394029337321</v>
      </c>
      <c r="I39" s="133">
        <f>LN('RAW DATA'!E47)</f>
        <v>30.447731996979492</v>
      </c>
      <c r="J39" s="132">
        <f>'RAW DATA'!K47/'RAW DATA'!J47</f>
        <v>5.4173659292005211E-2</v>
      </c>
      <c r="K39" s="132">
        <f>LN('RAW DATA'!O47)</f>
        <v>3.2188758248682006</v>
      </c>
      <c r="L39" s="133">
        <f>'RAW DATA'!M47/'RAW DATA'!E47</f>
        <v>7.5609176106687941E-4</v>
      </c>
    </row>
    <row r="40" spans="1:12" ht="22.5" customHeight="1" x14ac:dyDescent="0.2">
      <c r="A40" s="139" t="s">
        <v>22</v>
      </c>
      <c r="B40" s="42">
        <v>2023</v>
      </c>
      <c r="C40" s="132">
        <f>'RAW DATA'!G48/'RAW DATA'!H48</f>
        <v>0.31343824885427396</v>
      </c>
      <c r="D40" s="132">
        <f>'RAW DATA'!G48/'RAW DATA'!E48</f>
        <v>0.23863950142131876</v>
      </c>
      <c r="E40" s="132">
        <f>'RAW DATA'!L48/'RAW DATA'!H48</f>
        <v>2.0991197200749715E-2</v>
      </c>
      <c r="F40" s="132">
        <f>'RAW DATA'!D48/'RAW DATA'!E48</f>
        <v>0.82026926883998541</v>
      </c>
      <c r="G40" s="132">
        <f>'RAW DATA'!C48/'RAW DATA'!F48</f>
        <v>1.1677575475281157</v>
      </c>
      <c r="H40" s="132">
        <f>('RAW DATA'!I48-'RAW DATA'!I47)/'RAW DATA'!I47</f>
        <v>1.5586195426429741</v>
      </c>
      <c r="I40" s="133">
        <f>LN('RAW DATA'!E48)</f>
        <v>30.621081227314104</v>
      </c>
      <c r="J40" s="132">
        <f>'RAW DATA'!K48/'RAW DATA'!J48</f>
        <v>8.5304766505406318E-2</v>
      </c>
      <c r="K40" s="132">
        <f>LN('RAW DATA'!O48)</f>
        <v>3.2580965380214821</v>
      </c>
      <c r="L40" s="133">
        <f>'RAW DATA'!M48/'RAW DATA'!E48</f>
        <v>8.2457668886635452E-4</v>
      </c>
    </row>
    <row r="41" spans="1:12" ht="22.5" customHeight="1" x14ac:dyDescent="0.2">
      <c r="A41" s="139" t="s">
        <v>22</v>
      </c>
      <c r="B41" s="44">
        <v>2024</v>
      </c>
      <c r="C41" s="132">
        <f>'RAW DATA'!G49/'RAW DATA'!H49</f>
        <v>0.39819605256944407</v>
      </c>
      <c r="D41" s="132">
        <f>'RAW DATA'!G49/'RAW DATA'!E49</f>
        <v>0.28479271689952573</v>
      </c>
      <c r="E41" s="132">
        <f>'RAW DATA'!L49/'RAW DATA'!H49</f>
        <v>9.1923995314243225E-4</v>
      </c>
      <c r="F41" s="132">
        <f>'RAW DATA'!D49/'RAW DATA'!E49</f>
        <v>0.82239797125445857</v>
      </c>
      <c r="G41" s="132">
        <f>'RAW DATA'!C49/'RAW DATA'!F49</f>
        <v>0.94440044357140318</v>
      </c>
      <c r="H41" s="132">
        <f>('RAW DATA'!I49-'RAW DATA'!I48)/'RAW DATA'!I48</f>
        <v>-0.56744248388678953</v>
      </c>
      <c r="I41" s="133">
        <f>LN('RAW DATA'!E49)</f>
        <v>30.684469810362881</v>
      </c>
      <c r="J41" s="132">
        <f>'RAW DATA'!K49/'RAW DATA'!J49</f>
        <v>0.4754476056260894</v>
      </c>
      <c r="K41" s="132">
        <f>LN('RAW DATA'!O49)</f>
        <v>3.2958368660043291</v>
      </c>
      <c r="L41" s="133">
        <f>'RAW DATA'!M49/'RAW DATA'!E49</f>
        <v>8.4071115574213572E-4</v>
      </c>
    </row>
    <row r="42" spans="1:12" ht="22.5" customHeight="1" x14ac:dyDescent="0.2">
      <c r="A42" s="139" t="s">
        <v>23</v>
      </c>
      <c r="B42" s="37">
        <v>2020</v>
      </c>
      <c r="C42" s="132">
        <f>'RAW DATA'!G51/'RAW DATA'!H51</f>
        <v>0.76562170094314996</v>
      </c>
      <c r="D42" s="132">
        <f>'RAW DATA'!G51/'RAW DATA'!E51</f>
        <v>0.43362726032092519</v>
      </c>
      <c r="E42" s="132">
        <f>'RAW DATA'!L51/'RAW DATA'!H51</f>
        <v>1.4106244919176362E-2</v>
      </c>
      <c r="F42" s="132">
        <f>'RAW DATA'!D51/'RAW DATA'!E51</f>
        <v>0.53396435106216245</v>
      </c>
      <c r="G42" s="132">
        <f>'RAW DATA'!C51/'RAW DATA'!F51</f>
        <v>2.3971144858799671</v>
      </c>
      <c r="H42" s="132">
        <f>('RAW DATA'!I51-'RAW DATA'!I50)/'RAW DATA'!I50</f>
        <v>-0.12763476442054733</v>
      </c>
      <c r="I42" s="133">
        <f>LN('RAW DATA'!E51)</f>
        <v>31.739645346437246</v>
      </c>
      <c r="J42" s="132">
        <f>'RAW DATA'!K51/'RAW DATA'!J51</f>
        <v>0.11997495024774464</v>
      </c>
      <c r="K42" s="132">
        <f>LN('RAW DATA'!O51)</f>
        <v>2.4849066497880004</v>
      </c>
      <c r="L42" s="133">
        <f>'RAW DATA'!M51/'RAW DATA'!E51</f>
        <v>1.315373478103971E-3</v>
      </c>
    </row>
    <row r="43" spans="1:12" ht="22.5" customHeight="1" x14ac:dyDescent="0.2">
      <c r="A43" s="139" t="s">
        <v>23</v>
      </c>
      <c r="B43" s="42">
        <v>2021</v>
      </c>
      <c r="C43" s="132">
        <f>'RAW DATA'!G52/'RAW DATA'!H52</f>
        <v>0.71254796882560001</v>
      </c>
      <c r="D43" s="132">
        <f>'RAW DATA'!G52/'RAW DATA'!E52</f>
        <v>0.41607475048669046</v>
      </c>
      <c r="E43" s="132">
        <f>'RAW DATA'!L52/'RAW DATA'!H52</f>
        <v>4.2872153797266624E-2</v>
      </c>
      <c r="F43" s="132">
        <f>'RAW DATA'!D52/'RAW DATA'!E52</f>
        <v>0.53802033248357672</v>
      </c>
      <c r="G43" s="132">
        <f>'RAW DATA'!C52/'RAW DATA'!F52</f>
        <v>2.5891716723235501</v>
      </c>
      <c r="H43" s="132">
        <f>('RAW DATA'!I52-'RAW DATA'!I51)/'RAW DATA'!I51</f>
        <v>0.23852308322069984</v>
      </c>
      <c r="I43" s="133">
        <f>LN('RAW DATA'!E52)</f>
        <v>31.749565684319112</v>
      </c>
      <c r="J43" s="132">
        <f>'RAW DATA'!K52/'RAW DATA'!J52</f>
        <v>0.10243980234948487</v>
      </c>
      <c r="K43" s="132">
        <f>LN('RAW DATA'!O52)</f>
        <v>2.5649493574615367</v>
      </c>
      <c r="L43" s="133">
        <f>'RAW DATA'!M52/'RAW DATA'!E52</f>
        <v>1.2471831956101668E-3</v>
      </c>
    </row>
    <row r="44" spans="1:12" ht="22.5" customHeight="1" x14ac:dyDescent="0.2">
      <c r="A44" s="139" t="s">
        <v>23</v>
      </c>
      <c r="B44" s="42">
        <v>2022</v>
      </c>
      <c r="C44" s="132">
        <f>'RAW DATA'!G53/'RAW DATA'!H53</f>
        <v>0.70846782416737675</v>
      </c>
      <c r="D44" s="132">
        <f>'RAW DATA'!G53/'RAW DATA'!E53</f>
        <v>0.41468022642606639</v>
      </c>
      <c r="E44" s="132">
        <f>'RAW DATA'!L53/'RAW DATA'!H53</f>
        <v>6.9834541556472063E-2</v>
      </c>
      <c r="F44" s="132">
        <f>'RAW DATA'!D53/'RAW DATA'!E53</f>
        <v>0.54481618967430301</v>
      </c>
      <c r="G44" s="132">
        <f>'RAW DATA'!C53/'RAW DATA'!F53</f>
        <v>2.610699428055268</v>
      </c>
      <c r="H44" s="132">
        <f>('RAW DATA'!I53-'RAW DATA'!I52)/'RAW DATA'!I52</f>
        <v>0.33713185790117411</v>
      </c>
      <c r="I44" s="133">
        <f>LN('RAW DATA'!E53)</f>
        <v>31.805399208563411</v>
      </c>
      <c r="J44" s="132">
        <f>'RAW DATA'!K53/'RAW DATA'!J53</f>
        <v>9.1527431736161957E-2</v>
      </c>
      <c r="K44" s="132">
        <f>LN('RAW DATA'!O53)</f>
        <v>2.6390573296152584</v>
      </c>
      <c r="L44" s="133">
        <f>'RAW DATA'!M53/'RAW DATA'!E53</f>
        <v>1.1442959939007033E-3</v>
      </c>
    </row>
    <row r="45" spans="1:12" ht="22.5" customHeight="1" x14ac:dyDescent="0.2">
      <c r="A45" s="139" t="s">
        <v>23</v>
      </c>
      <c r="B45" s="42">
        <v>2023</v>
      </c>
      <c r="C45" s="132">
        <f>'RAW DATA'!G54/'RAW DATA'!H54</f>
        <v>0.62196785716049452</v>
      </c>
      <c r="D45" s="132">
        <f>'RAW DATA'!G54/'RAW DATA'!E54</f>
        <v>0.38346497090845277</v>
      </c>
      <c r="E45" s="132">
        <f>'RAW DATA'!L54/'RAW DATA'!H54</f>
        <v>5.4839074072378841E-2</v>
      </c>
      <c r="F45" s="132">
        <f>'RAW DATA'!D54/'RAW DATA'!E54</f>
        <v>0.56043914149024554</v>
      </c>
      <c r="G45" s="132">
        <f>'RAW DATA'!C54/'RAW DATA'!F54</f>
        <v>2.4689463502162372</v>
      </c>
      <c r="H45" s="132">
        <f>('RAW DATA'!I54-'RAW DATA'!I53)/'RAW DATA'!I53</f>
        <v>0.1273668943778811</v>
      </c>
      <c r="I45" s="133">
        <f>LN('RAW DATA'!E54)</f>
        <v>31.833138010335279</v>
      </c>
      <c r="J45" s="132">
        <f>'RAW DATA'!K54/'RAW DATA'!J54</f>
        <v>0.13706887524216477</v>
      </c>
      <c r="K45" s="132">
        <f>LN('RAW DATA'!O54)</f>
        <v>2.7080502011022101</v>
      </c>
      <c r="L45" s="133">
        <f>'RAW DATA'!M54/'RAW DATA'!E54</f>
        <v>1.0292082776188725E-3</v>
      </c>
    </row>
    <row r="46" spans="1:12" ht="22.5" customHeight="1" x14ac:dyDescent="0.2">
      <c r="A46" s="139" t="s">
        <v>23</v>
      </c>
      <c r="B46" s="44">
        <v>2024</v>
      </c>
      <c r="C46" s="132">
        <f>'RAW DATA'!G55/'RAW DATA'!H55</f>
        <v>0.60660245723317952</v>
      </c>
      <c r="D46" s="132">
        <f>'RAW DATA'!G55/'RAW DATA'!E55</f>
        <v>0.37756848590773584</v>
      </c>
      <c r="E46" s="132">
        <f>'RAW DATA'!L55/'RAW DATA'!H55</f>
        <v>0.1039251977586855</v>
      </c>
      <c r="F46" s="132">
        <f>'RAW DATA'!D55/'RAW DATA'!E55</f>
        <v>0.59359207276781922</v>
      </c>
      <c r="G46" s="132">
        <f>'RAW DATA'!C55/'RAW DATA'!F55</f>
        <v>2.1555462197677762</v>
      </c>
      <c r="H46" s="132">
        <f>('RAW DATA'!I55-'RAW DATA'!I54)/'RAW DATA'!I54</f>
        <v>0.19563248683273349</v>
      </c>
      <c r="I46" s="133">
        <f>LN('RAW DATA'!E55)</f>
        <v>31.962061631227147</v>
      </c>
      <c r="J46" s="132">
        <f>'RAW DATA'!K55/'RAW DATA'!J55</f>
        <v>9.6926249743997259E-2</v>
      </c>
      <c r="K46" s="132">
        <f>LN('RAW DATA'!O55)</f>
        <v>2.7725887222397811</v>
      </c>
      <c r="L46" s="133">
        <f>'RAW DATA'!M55/'RAW DATA'!E55</f>
        <v>1.1347797388458231E-3</v>
      </c>
    </row>
    <row r="47" spans="1:12" ht="22.5" customHeight="1" x14ac:dyDescent="0.2">
      <c r="A47" s="48" t="s">
        <v>24</v>
      </c>
      <c r="B47" s="37">
        <v>2020</v>
      </c>
      <c r="C47" s="136">
        <f>'RAW DATA'!G57/'RAW DATA'!H57</f>
        <v>1.2486108571614492</v>
      </c>
      <c r="D47" s="135">
        <f>'RAW DATA'!G57/'RAW DATA'!E57</f>
        <v>0.55528098745269006</v>
      </c>
      <c r="E47" s="132">
        <f>'RAW DATA'!L57/'RAW DATA'!H57</f>
        <v>7.8515469085886622E-2</v>
      </c>
      <c r="F47" s="135">
        <f>'RAW DATA'!D57/'RAW DATA'!E57</f>
        <v>0.47406705768590529</v>
      </c>
      <c r="G47" s="132">
        <f>'RAW DATA'!C57/'RAW DATA'!F57</f>
        <v>1.7783495359886381</v>
      </c>
      <c r="H47" s="132">
        <f>('RAW DATA'!I57-'RAW DATA'!I56)/'RAW DATA'!I56</f>
        <v>6.0789378669460478E-2</v>
      </c>
      <c r="I47" s="133">
        <f>LN('RAW DATA'!E57)</f>
        <v>31.301104704291788</v>
      </c>
      <c r="J47" s="133">
        <f>'RAW DATA'!K57/'RAW DATA'!J57</f>
        <v>0.10892194333347557</v>
      </c>
      <c r="K47" s="136">
        <f>LN('RAW DATA'!O57)</f>
        <v>3.2580965380214821</v>
      </c>
      <c r="L47" s="137">
        <f>'RAW DATA'!M57/'RAW DATA'!E57</f>
        <v>4.142739149351142E-3</v>
      </c>
    </row>
    <row r="48" spans="1:12" ht="22.5" customHeight="1" x14ac:dyDescent="0.2">
      <c r="A48" s="48" t="s">
        <v>24</v>
      </c>
      <c r="B48" s="42">
        <v>2021</v>
      </c>
      <c r="C48" s="136">
        <f>'RAW DATA'!G58/'RAW DATA'!H58</f>
        <v>1.0969370889653229</v>
      </c>
      <c r="D48" s="135">
        <f>'RAW DATA'!G58/'RAW DATA'!E58</f>
        <v>0.52311397167693618</v>
      </c>
      <c r="E48" s="132">
        <f>'RAW DATA'!L58/'RAW DATA'!H58</f>
        <v>0.10764642640270179</v>
      </c>
      <c r="F48" s="135">
        <f>'RAW DATA'!D58/'RAW DATA'!E58</f>
        <v>0.46108442741960093</v>
      </c>
      <c r="G48" s="132">
        <f>'RAW DATA'!C58/'RAW DATA'!F58</f>
        <v>1.9990960812705942</v>
      </c>
      <c r="H48" s="132">
        <f>('RAW DATA'!I58-'RAW DATA'!I57)/'RAW DATA'!I57</f>
        <v>0.20554677968071566</v>
      </c>
      <c r="I48" s="133">
        <f>LN('RAW DATA'!E58)</f>
        <v>31.336472764516422</v>
      </c>
      <c r="J48" s="133">
        <f>'RAW DATA'!K58/'RAW DATA'!J58</f>
        <v>9.1753885386480855E-2</v>
      </c>
      <c r="K48" s="136">
        <f>LN('RAW DATA'!O58)</f>
        <v>3.2958368660043291</v>
      </c>
      <c r="L48" s="137">
        <f>'RAW DATA'!M58/'RAW DATA'!E58</f>
        <v>4.0052708230965796E-3</v>
      </c>
    </row>
    <row r="49" spans="1:12" ht="22.5" customHeight="1" x14ac:dyDescent="0.2">
      <c r="A49" s="48" t="s">
        <v>24</v>
      </c>
      <c r="B49" s="42">
        <v>2022</v>
      </c>
      <c r="C49" s="136">
        <f>'RAW DATA'!G59/'RAW DATA'!H59</f>
        <v>1.0001310972722726</v>
      </c>
      <c r="D49" s="135">
        <f>'RAW DATA'!G59/'RAW DATA'!E59</f>
        <v>0.50003277216989717</v>
      </c>
      <c r="E49" s="132">
        <f>'RAW DATA'!L59/'RAW DATA'!H59</f>
        <v>9.5269220501805141E-2</v>
      </c>
      <c r="F49" s="135">
        <f>'RAW DATA'!D59/'RAW DATA'!E59</f>
        <v>0.43534545733117008</v>
      </c>
      <c r="G49" s="132">
        <f>'RAW DATA'!C59/'RAW DATA'!F59</f>
        <v>2.1957466701242674</v>
      </c>
      <c r="H49" s="132">
        <f>('RAW DATA'!I59-'RAW DATA'!I58)/'RAW DATA'!I58</f>
        <v>-6.1960290250904167E-2</v>
      </c>
      <c r="I49" s="133">
        <f>LN('RAW DATA'!E59)</f>
        <v>31.369466980473863</v>
      </c>
      <c r="J49" s="133">
        <f>'RAW DATA'!K59/'RAW DATA'!J59</f>
        <v>0.10009220845117882</v>
      </c>
      <c r="K49" s="136">
        <f>LN('RAW DATA'!O59)</f>
        <v>3.3322045101752038</v>
      </c>
      <c r="L49" s="137">
        <f>'RAW DATA'!M59/'RAW DATA'!E59</f>
        <v>3.9647545126564217E-3</v>
      </c>
    </row>
    <row r="50" spans="1:12" ht="22.5" customHeight="1" x14ac:dyDescent="0.2">
      <c r="A50" s="48" t="s">
        <v>24</v>
      </c>
      <c r="B50" s="42">
        <v>2023</v>
      </c>
      <c r="C50" s="136">
        <f>'RAW DATA'!G60/'RAW DATA'!H60</f>
        <v>0.9498682326001352</v>
      </c>
      <c r="D50" s="135">
        <f>'RAW DATA'!G60/'RAW DATA'!E60</f>
        <v>0.48714483200410563</v>
      </c>
      <c r="E50" s="132">
        <f>'RAW DATA'!L60/'RAW DATA'!H60</f>
        <v>8.4377854731966587E-2</v>
      </c>
      <c r="F50" s="135">
        <f>'RAW DATA'!D60/'RAW DATA'!E60</f>
        <v>0.4163502773362886</v>
      </c>
      <c r="G50" s="132">
        <f>'RAW DATA'!C60/'RAW DATA'!F60</f>
        <v>2.4232351434243014</v>
      </c>
      <c r="H50" s="132">
        <f>('RAW DATA'!I60-'RAW DATA'!I59)/'RAW DATA'!I59</f>
        <v>1.2954487109883761E-2</v>
      </c>
      <c r="I50" s="133">
        <f>LN('RAW DATA'!E60)</f>
        <v>31.417825850216492</v>
      </c>
      <c r="J50" s="133">
        <f>'RAW DATA'!K60/'RAW DATA'!J60</f>
        <v>0.1039308482956024</v>
      </c>
      <c r="K50" s="136">
        <f>LN('RAW DATA'!O60)</f>
        <v>3.3672958299864741</v>
      </c>
      <c r="L50" s="137">
        <f>'RAW DATA'!M60/'RAW DATA'!E60</f>
        <v>4.1049556258538015E-3</v>
      </c>
    </row>
    <row r="51" spans="1:12" ht="22.5" customHeight="1" x14ac:dyDescent="0.2">
      <c r="A51" s="49" t="s">
        <v>24</v>
      </c>
      <c r="B51" s="44">
        <v>2024</v>
      </c>
      <c r="C51" s="136">
        <f>'RAW DATA'!G61/'RAW DATA'!H61</f>
        <v>0.91030150723146919</v>
      </c>
      <c r="D51" s="135">
        <f>'RAW DATA'!G61/'RAW DATA'!E61</f>
        <v>0.47652242527449828</v>
      </c>
      <c r="E51" s="132">
        <f>'RAW DATA'!L61/'RAW DATA'!H61</f>
        <v>9.4573909835862446E-2</v>
      </c>
      <c r="F51" s="135">
        <f>'RAW DATA'!D61/'RAW DATA'!E61</f>
        <v>0.43793585064507778</v>
      </c>
      <c r="G51" s="132">
        <f>'RAW DATA'!C61/'RAW DATA'!F61</f>
        <v>1.9859884802670489</v>
      </c>
      <c r="H51" s="132">
        <f>('RAW DATA'!I61-'RAW DATA'!I60)/'RAW DATA'!I60</f>
        <v>0.21011641712002727</v>
      </c>
      <c r="I51" s="133">
        <f>LN('RAW DATA'!E61)</f>
        <v>31.481651622297978</v>
      </c>
      <c r="J51" s="133">
        <f>'RAW DATA'!K61/'RAW DATA'!J61</f>
        <v>0.10958732829520895</v>
      </c>
      <c r="K51" s="136">
        <f>LN('RAW DATA'!O61)</f>
        <v>3.4011973816621555</v>
      </c>
      <c r="L51" s="137">
        <f>'RAW DATA'!M61/'RAW DATA'!E61</f>
        <v>4.2960951074227935E-3</v>
      </c>
    </row>
    <row r="52" spans="1:12" ht="22.5" customHeight="1" x14ac:dyDescent="0.2">
      <c r="A52" s="48" t="s">
        <v>25</v>
      </c>
      <c r="B52" s="37">
        <v>2020</v>
      </c>
      <c r="C52" s="136">
        <f>'RAW DATA'!G63/'RAW DATA'!H63</f>
        <v>1.2841017553627145</v>
      </c>
      <c r="D52" s="136">
        <f>'RAW DATA'!G63/'RAW DATA'!E63</f>
        <v>0.56219113371277962</v>
      </c>
      <c r="E52" s="132">
        <f>'RAW DATA'!L63/'RAW DATA'!H63</f>
        <v>-0.13732262900037567</v>
      </c>
      <c r="F52" s="135">
        <f>'RAW DATA'!D63/'RAW DATA'!E63</f>
        <v>0.9726013518244071</v>
      </c>
      <c r="G52" s="132">
        <f>'RAW DATA'!C63/'RAW DATA'!F63</f>
        <v>0.29928849694465681</v>
      </c>
      <c r="H52" s="132">
        <f>('RAW DATA'!I63-'RAW DATA'!I62)/'RAW DATA'!I62</f>
        <v>-0.29756754044511713</v>
      </c>
      <c r="I52" s="133">
        <f>LN('RAW DATA'!E63)</f>
        <v>29.526557995664479</v>
      </c>
      <c r="J52" s="135">
        <f>'RAW DATA'!K63/'RAW DATA'!J63</f>
        <v>-9.8090452742093923E-2</v>
      </c>
      <c r="K52" s="136">
        <f>LN('RAW DATA'!O63)</f>
        <v>3.4011973816621555</v>
      </c>
      <c r="L52" s="137">
        <f>'RAW DATA'!M63/'RAW DATA'!E63</f>
        <v>1.0436423434588346E-2</v>
      </c>
    </row>
    <row r="53" spans="1:12" ht="22.5" customHeight="1" x14ac:dyDescent="0.2">
      <c r="A53" s="48" t="s">
        <v>25</v>
      </c>
      <c r="B53" s="42">
        <v>2021</v>
      </c>
      <c r="C53" s="136">
        <f>'RAW DATA'!G64/'RAW DATA'!H64</f>
        <v>1.6381447157985247</v>
      </c>
      <c r="D53" s="136">
        <f>'RAW DATA'!G64/'RAW DATA'!E64</f>
        <v>0.62094573735417091</v>
      </c>
      <c r="E53" s="132">
        <f>'RAW DATA'!L64/'RAW DATA'!H64</f>
        <v>-0.16427284011219961</v>
      </c>
      <c r="F53" s="135">
        <f>'RAW DATA'!D64/'RAW DATA'!E64</f>
        <v>0.97139735438605568</v>
      </c>
      <c r="G53" s="132">
        <f>'RAW DATA'!C64/'RAW DATA'!F64</f>
        <v>0.14676201726675869</v>
      </c>
      <c r="H53" s="132">
        <f>('RAW DATA'!I64-'RAW DATA'!I63)/'RAW DATA'!I63</f>
        <v>-0.10354075326475791</v>
      </c>
      <c r="I53" s="133">
        <f>LN('RAW DATA'!E64)</f>
        <v>29.518701879707418</v>
      </c>
      <c r="J53" s="135">
        <f>'RAW DATA'!K64/'RAW DATA'!J64</f>
        <v>-3.6968077065763043E-2</v>
      </c>
      <c r="K53" s="136">
        <f>LN('RAW DATA'!O64)</f>
        <v>3.4339872044851463</v>
      </c>
      <c r="L53" s="137">
        <f>'RAW DATA'!M64/'RAW DATA'!E64</f>
        <v>9.5860547271906394E-3</v>
      </c>
    </row>
    <row r="54" spans="1:12" ht="22.5" customHeight="1" x14ac:dyDescent="0.2">
      <c r="A54" s="48" t="s">
        <v>25</v>
      </c>
      <c r="B54" s="42">
        <v>2022</v>
      </c>
      <c r="C54" s="136">
        <f>'RAW DATA'!G65/'RAW DATA'!H65</f>
        <v>2.1035568790357266</v>
      </c>
      <c r="D54" s="136">
        <f>'RAW DATA'!G65/'RAW DATA'!E65</f>
        <v>0.67778905334233819</v>
      </c>
      <c r="E54" s="132">
        <f>'RAW DATA'!L65/'RAW DATA'!H65</f>
        <v>-0.20225224721894861</v>
      </c>
      <c r="F54" s="135">
        <f>'RAW DATA'!D65/'RAW DATA'!E65</f>
        <v>0.97798322091386658</v>
      </c>
      <c r="G54" s="132">
        <f>'RAW DATA'!C65/'RAW DATA'!F65</f>
        <v>0.14287907482219731</v>
      </c>
      <c r="H54" s="132">
        <f>('RAW DATA'!I65-'RAW DATA'!I64)/'RAW DATA'!I64</f>
        <v>0.13623260232578607</v>
      </c>
      <c r="I54" s="133">
        <f>LN('RAW DATA'!E65)</f>
        <v>29.497065223382528</v>
      </c>
      <c r="J54" s="135">
        <f>'RAW DATA'!K65/'RAW DATA'!J65</f>
        <v>-0.38439992838635506</v>
      </c>
      <c r="K54" s="136">
        <f>LN('RAW DATA'!O65)</f>
        <v>3.4657359027997265</v>
      </c>
      <c r="L54" s="137">
        <f>'RAW DATA'!M65/'RAW DATA'!E65</f>
        <v>9.1524664863819275E-3</v>
      </c>
    </row>
    <row r="55" spans="1:12" ht="22.5" customHeight="1" x14ac:dyDescent="0.2">
      <c r="A55" s="48" t="s">
        <v>25</v>
      </c>
      <c r="B55" s="42">
        <v>2023</v>
      </c>
      <c r="C55" s="136">
        <f>'RAW DATA'!G66/'RAW DATA'!H66</f>
        <v>2.6335138770846016</v>
      </c>
      <c r="D55" s="136">
        <f>'RAW DATA'!G66/'RAW DATA'!E66</f>
        <v>0.72478431792797682</v>
      </c>
      <c r="E55" s="132">
        <f>'RAW DATA'!L66/'RAW DATA'!H66</f>
        <v>-0.19775195630359957</v>
      </c>
      <c r="F55" s="135">
        <f>'RAW DATA'!D66/'RAW DATA'!E66</f>
        <v>0.98035089209664206</v>
      </c>
      <c r="G55" s="132">
        <f>'RAW DATA'!C66/'RAW DATA'!F66</f>
        <v>0.15070803960594098</v>
      </c>
      <c r="H55" s="132">
        <f>('RAW DATA'!I66-'RAW DATA'!I65)/'RAW DATA'!I65</f>
        <v>0.31211097482914801</v>
      </c>
      <c r="I55" s="133">
        <f>LN('RAW DATA'!E66)</f>
        <v>29.474260721121514</v>
      </c>
      <c r="J55" s="135">
        <f>'RAW DATA'!K66/'RAW DATA'!J66</f>
        <v>1.1129453350201088</v>
      </c>
      <c r="K55" s="136">
        <f>LN('RAW DATA'!O66)</f>
        <v>3.4965075614664802</v>
      </c>
      <c r="L55" s="137">
        <f>'RAW DATA'!M66/'RAW DATA'!E66</f>
        <v>8.5069194719174998E-3</v>
      </c>
    </row>
    <row r="56" spans="1:12" ht="22.5" customHeight="1" x14ac:dyDescent="0.2">
      <c r="A56" s="49" t="s">
        <v>25</v>
      </c>
      <c r="B56" s="44">
        <v>2024</v>
      </c>
      <c r="C56" s="136">
        <f>'RAW DATA'!G67/'RAW DATA'!H67</f>
        <v>3.30512843643554</v>
      </c>
      <c r="D56" s="136">
        <f>'RAW DATA'!G67/'RAW DATA'!E67</f>
        <v>0.76771889276595973</v>
      </c>
      <c r="E56" s="132">
        <f>'RAW DATA'!L67/'RAW DATA'!H67</f>
        <v>-0.20580365492284547</v>
      </c>
      <c r="F56" s="135">
        <f>'RAW DATA'!D67/'RAW DATA'!E67</f>
        <v>0.97879056951775523</v>
      </c>
      <c r="G56" s="132">
        <f>'RAW DATA'!C67/'RAW DATA'!F67</f>
        <v>0.1004810918050176</v>
      </c>
      <c r="H56" s="132">
        <f>('RAW DATA'!I67-'RAW DATA'!I66)/'RAW DATA'!I66</f>
        <v>0.18088216969155901</v>
      </c>
      <c r="I56" s="133">
        <f>LN('RAW DATA'!E67)</f>
        <v>29.456969673067558</v>
      </c>
      <c r="J56" s="135">
        <f>'RAW DATA'!K67/'RAW DATA'!J67</f>
        <v>0.53438261851877178</v>
      </c>
      <c r="K56" s="136">
        <f>LN('RAW DATA'!O67)</f>
        <v>3.5263605246161616</v>
      </c>
      <c r="L56" s="137">
        <f>'RAW DATA'!M67/'RAW DATA'!E67</f>
        <v>8.9020985949378184E-3</v>
      </c>
    </row>
    <row r="57" spans="1:12" ht="22.5" customHeight="1" x14ac:dyDescent="0.2">
      <c r="A57" s="48" t="s">
        <v>26</v>
      </c>
      <c r="B57" s="37">
        <v>2020</v>
      </c>
      <c r="C57" s="136">
        <f>'RAW DATA'!G69/'RAW DATA'!H69</f>
        <v>1.5876606947305298</v>
      </c>
      <c r="D57" s="136">
        <f>'RAW DATA'!G69/'RAW DATA'!E69</f>
        <v>0.61355057019786874</v>
      </c>
      <c r="E57" s="132">
        <f>'RAW DATA'!L69/'RAW DATA'!H69</f>
        <v>1.1366588537732581E-2</v>
      </c>
      <c r="F57" s="135">
        <f>'RAW DATA'!D69/'RAW DATA'!E69</f>
        <v>0.7122434090848081</v>
      </c>
      <c r="G57" s="132">
        <f>'RAW DATA'!C69/'RAW DATA'!F69</f>
        <v>1.0343583156854386</v>
      </c>
      <c r="H57" s="132">
        <f>('RAW DATA'!I69-'RAW DATA'!I68)/'RAW DATA'!I68</f>
        <v>5.664394585417655E-2</v>
      </c>
      <c r="I57" s="133">
        <f>LN('RAW DATA'!E69)</f>
        <v>30.384656278678587</v>
      </c>
      <c r="J57" s="132">
        <f>'RAW DATA'!K69/'RAW DATA'!J69</f>
        <v>6.5588873850919827E-2</v>
      </c>
      <c r="K57" s="136">
        <f>LN('RAW DATA'!O69)</f>
        <v>3.3672958299864741</v>
      </c>
      <c r="L57" s="137">
        <f>'RAW DATA'!M69/'RAW DATA'!E69</f>
        <v>2.1840329165147389E-3</v>
      </c>
    </row>
    <row r="58" spans="1:12" ht="22.5" customHeight="1" x14ac:dyDescent="0.2">
      <c r="A58" s="48" t="s">
        <v>26</v>
      </c>
      <c r="B58" s="42">
        <v>2021</v>
      </c>
      <c r="C58" s="136">
        <f>'RAW DATA'!G70/'RAW DATA'!H70</f>
        <v>1.7218421423053014</v>
      </c>
      <c r="D58" s="136">
        <f>'RAW DATA'!G70/'RAW DATA'!E70</f>
        <v>0.63260176464420659</v>
      </c>
      <c r="E58" s="132">
        <f>'RAW DATA'!L70/'RAW DATA'!H70</f>
        <v>-4.8062484616281688E-3</v>
      </c>
      <c r="F58" s="135">
        <f>'RAW DATA'!D70/'RAW DATA'!E70</f>
        <v>0.59484711954362002</v>
      </c>
      <c r="G58" s="132">
        <f>'RAW DATA'!C70/'RAW DATA'!F70</f>
        <v>1.0276720486922426</v>
      </c>
      <c r="H58" s="132">
        <f>('RAW DATA'!I70-'RAW DATA'!I69)/'RAW DATA'!I69</f>
        <v>-9.0875565297144079E-2</v>
      </c>
      <c r="I58" s="133">
        <f>LN('RAW DATA'!E70)</f>
        <v>30.431954604471901</v>
      </c>
      <c r="J58" s="132">
        <f>'RAW DATA'!K70/'RAW DATA'!J70</f>
        <v>0.12275341083216677</v>
      </c>
      <c r="K58" s="136">
        <f>LN('RAW DATA'!O70)</f>
        <v>3.4011973816621555</v>
      </c>
      <c r="L58" s="137">
        <f>'RAW DATA'!M70/'RAW DATA'!E70</f>
        <v>2.0832764995576017E-3</v>
      </c>
    </row>
    <row r="59" spans="1:12" ht="22.5" customHeight="1" x14ac:dyDescent="0.2">
      <c r="A59" s="48" t="s">
        <v>26</v>
      </c>
      <c r="B59" s="42">
        <v>2022</v>
      </c>
      <c r="C59" s="136">
        <f>'RAW DATA'!G71/'RAW DATA'!H71</f>
        <v>1.630753115607479</v>
      </c>
      <c r="D59" s="136">
        <f>'RAW DATA'!G71/'RAW DATA'!E71</f>
        <v>0.61988071245937293</v>
      </c>
      <c r="E59" s="132">
        <f>'RAW DATA'!L71/'RAW DATA'!H71</f>
        <v>3.0884591473146119E-2</v>
      </c>
      <c r="F59" s="135">
        <f>'RAW DATA'!D71/'RAW DATA'!E71</f>
        <v>0.60496050720825556</v>
      </c>
      <c r="G59" s="132">
        <f>'RAW DATA'!C71/'RAW DATA'!F71</f>
        <v>1.0433369210726497</v>
      </c>
      <c r="H59" s="132">
        <f>('RAW DATA'!I71-'RAW DATA'!I70)/'RAW DATA'!I70</f>
        <v>0.19786838033242959</v>
      </c>
      <c r="I59" s="133">
        <f>LN('RAW DATA'!E71)</f>
        <v>30.425362057524637</v>
      </c>
      <c r="J59" s="132">
        <f>'RAW DATA'!K71/'RAW DATA'!J71</f>
        <v>6.9327781326331647E-2</v>
      </c>
      <c r="K59" s="136">
        <f>LN('RAW DATA'!O71)</f>
        <v>3.4339872044851463</v>
      </c>
      <c r="L59" s="137">
        <f>'RAW DATA'!M71/'RAW DATA'!E71</f>
        <v>1.8130564470544115E-3</v>
      </c>
    </row>
    <row r="60" spans="1:12" ht="22.5" customHeight="1" x14ac:dyDescent="0.2">
      <c r="A60" s="48" t="s">
        <v>26</v>
      </c>
      <c r="B60" s="42">
        <v>2023</v>
      </c>
      <c r="C60" s="136">
        <f>'RAW DATA'!G72/'RAW DATA'!H72</f>
        <v>1.2332930052385758</v>
      </c>
      <c r="D60" s="136">
        <f>'RAW DATA'!G72/'RAW DATA'!E72</f>
        <v>0.55223072044092436</v>
      </c>
      <c r="E60" s="132">
        <f>'RAW DATA'!L72/'RAW DATA'!H72</f>
        <v>0.11592098792326364</v>
      </c>
      <c r="F60" s="135">
        <f>'RAW DATA'!D72/'RAW DATA'!E72</f>
        <v>0.67578748225842278</v>
      </c>
      <c r="G60" s="132">
        <f>'RAW DATA'!C72/'RAW DATA'!F72</f>
        <v>1.1401620356814448</v>
      </c>
      <c r="H60" s="132">
        <f>('RAW DATA'!I72-'RAW DATA'!I71)/'RAW DATA'!I71</f>
        <v>0.24075275498931695</v>
      </c>
      <c r="I60" s="133">
        <f>LN('RAW DATA'!E72)</f>
        <v>30.312310289863209</v>
      </c>
      <c r="J60" s="132">
        <f>'RAW DATA'!K72/'RAW DATA'!J72</f>
        <v>7.5458055344362271E-2</v>
      </c>
      <c r="K60" s="136">
        <f>LN('RAW DATA'!O72)</f>
        <v>3.4657359027997265</v>
      </c>
      <c r="L60" s="137">
        <f>'RAW DATA'!M72/'RAW DATA'!E72</f>
        <v>2.2240313896483392E-3</v>
      </c>
    </row>
    <row r="61" spans="1:12" ht="22.5" customHeight="1" x14ac:dyDescent="0.2">
      <c r="A61" s="49" t="s">
        <v>26</v>
      </c>
      <c r="B61" s="44">
        <v>2024</v>
      </c>
      <c r="C61" s="136">
        <f>'RAW DATA'!G73/'RAW DATA'!H73</f>
        <v>1.0310850542457275</v>
      </c>
      <c r="D61" s="136">
        <f>'RAW DATA'!G73/'RAW DATA'!E73</f>
        <v>0.50765232706054042</v>
      </c>
      <c r="E61" s="132">
        <f>'RAW DATA'!L73/'RAW DATA'!H73</f>
        <v>3.9107033359817862E-2</v>
      </c>
      <c r="F61" s="135">
        <f>'RAW DATA'!D73/'RAW DATA'!E73</f>
        <v>0.71755008767086537</v>
      </c>
      <c r="G61" s="132">
        <f>'RAW DATA'!C73/'RAW DATA'!F73</f>
        <v>1.0802262052923495</v>
      </c>
      <c r="H61" s="132">
        <f>('RAW DATA'!I73-'RAW DATA'!I72)/'RAW DATA'!I72</f>
        <v>-0.34645540169251848</v>
      </c>
      <c r="I61" s="133">
        <f>LN('RAW DATA'!E73)</f>
        <v>30.248676264108081</v>
      </c>
      <c r="J61" s="132">
        <f>'RAW DATA'!K73/'RAW DATA'!J73</f>
        <v>0.31533340728191678</v>
      </c>
      <c r="K61" s="136">
        <f>LN('RAW DATA'!O73)</f>
        <v>3.4965075614664802</v>
      </c>
      <c r="L61" s="137">
        <f>'RAW DATA'!M73/'RAW DATA'!E73</f>
        <v>2.6219831029871913E-3</v>
      </c>
    </row>
    <row r="62" spans="1:12" ht="22.5" customHeight="1" x14ac:dyDescent="0.2">
      <c r="A62" s="48" t="s">
        <v>27</v>
      </c>
      <c r="B62" s="37">
        <v>2020</v>
      </c>
      <c r="C62" s="136">
        <f>'RAW DATA'!G75/'RAW DATA'!H75</f>
        <v>0.33139683023736632</v>
      </c>
      <c r="D62" s="136">
        <f>'RAW DATA'!G75/'RAW DATA'!E75</f>
        <v>0.24890913265752906</v>
      </c>
      <c r="E62" s="132">
        <f>'RAW DATA'!L75/'RAW DATA'!H75</f>
        <v>6.1801902934669514E-2</v>
      </c>
      <c r="F62" s="135">
        <f>'RAW DATA'!D75/'RAW DATA'!E75</f>
        <v>0.55838154417819275</v>
      </c>
      <c r="G62" s="132">
        <f>'RAW DATA'!C75/'RAW DATA'!F75</f>
        <v>3.1962557199670587</v>
      </c>
      <c r="H62" s="132">
        <f>('RAW DATA'!I75-'RAW DATA'!I74)/'RAW DATA'!I74</f>
        <v>-0.29880931831196877</v>
      </c>
      <c r="I62" s="133">
        <f>LN('RAW DATA'!E75)</f>
        <v>30.252323522673628</v>
      </c>
      <c r="J62" s="132">
        <f>'RAW DATA'!K75/'RAW DATA'!J75</f>
        <v>0.15049191127879191</v>
      </c>
      <c r="K62" s="136">
        <f>LN('RAW DATA'!O75)</f>
        <v>3.2580965380214821</v>
      </c>
      <c r="L62" s="137">
        <f>'RAW DATA'!M75/'RAW DATA'!E75</f>
        <v>2.5385032003447283E-3</v>
      </c>
    </row>
    <row r="63" spans="1:12" ht="22.5" customHeight="1" x14ac:dyDescent="0.2">
      <c r="A63" s="48" t="s">
        <v>27</v>
      </c>
      <c r="B63" s="42">
        <v>2021</v>
      </c>
      <c r="C63" s="136">
        <f>'RAW DATA'!G76/'RAW DATA'!H76</f>
        <v>0.39660980284111758</v>
      </c>
      <c r="D63" s="136">
        <f>'RAW DATA'!G76/'RAW DATA'!E76</f>
        <v>0.28398039454849588</v>
      </c>
      <c r="E63" s="132">
        <f>'RAW DATA'!L76/'RAW DATA'!H76</f>
        <v>6.66071095912006E-2</v>
      </c>
      <c r="F63" s="135">
        <f>'RAW DATA'!D76/'RAW DATA'!E76</f>
        <v>0.48236238191649766</v>
      </c>
      <c r="G63" s="132">
        <f>'RAW DATA'!C76/'RAW DATA'!F76</f>
        <v>3.2667022328556947</v>
      </c>
      <c r="H63" s="132">
        <f>('RAW DATA'!I76-'RAW DATA'!I75)/'RAW DATA'!I75</f>
        <v>0.26263132891269625</v>
      </c>
      <c r="I63" s="133">
        <f>LN('RAW DATA'!E76)</f>
        <v>30.359457006194308</v>
      </c>
      <c r="J63" s="132">
        <f>'RAW DATA'!K76/'RAW DATA'!J76</f>
        <v>0.15101851564875307</v>
      </c>
      <c r="K63" s="136">
        <f>LN('RAW DATA'!O76)</f>
        <v>3.2958368660043291</v>
      </c>
      <c r="L63" s="137">
        <f>'RAW DATA'!M76/'RAW DATA'!E76</f>
        <v>2.1824125794976876E-3</v>
      </c>
    </row>
    <row r="64" spans="1:12" ht="22.5" customHeight="1" x14ac:dyDescent="0.2">
      <c r="A64" s="48" t="s">
        <v>27</v>
      </c>
      <c r="B64" s="42">
        <v>2022</v>
      </c>
      <c r="C64" s="136">
        <f>'RAW DATA'!G77/'RAW DATA'!H77</f>
        <v>0.42649050240552955</v>
      </c>
      <c r="D64" s="136">
        <f>'RAW DATA'!G77/'RAW DATA'!E77</f>
        <v>0.29897885873500529</v>
      </c>
      <c r="E64" s="132">
        <f>'RAW DATA'!L77/'RAW DATA'!H77</f>
        <v>7.7492093983130492E-2</v>
      </c>
      <c r="F64" s="135">
        <f>'RAW DATA'!D77/'RAW DATA'!E77</f>
        <v>0.47610889480271124</v>
      </c>
      <c r="G64" s="132">
        <f>'RAW DATA'!C77/'RAW DATA'!F77</f>
        <v>2.4338816795203275</v>
      </c>
      <c r="H64" s="132">
        <f>('RAW DATA'!I77-'RAW DATA'!I76)/'RAW DATA'!I76</f>
        <v>0.38539284773853572</v>
      </c>
      <c r="I64" s="133">
        <f>LN('RAW DATA'!E77)</f>
        <v>30.37740561781877</v>
      </c>
      <c r="J64" s="132">
        <f>'RAW DATA'!K77/'RAW DATA'!J77</f>
        <v>0.12667474157848088</v>
      </c>
      <c r="K64" s="136">
        <f>LN('RAW DATA'!O77)</f>
        <v>3.3322045101752038</v>
      </c>
      <c r="L64" s="137">
        <f>'RAW DATA'!M77/'RAW DATA'!E77</f>
        <v>2.0198472233034382E-3</v>
      </c>
    </row>
    <row r="65" spans="1:12" ht="22.5" customHeight="1" x14ac:dyDescent="0.2">
      <c r="A65" s="48" t="s">
        <v>27</v>
      </c>
      <c r="B65" s="42">
        <v>2023</v>
      </c>
      <c r="C65" s="136">
        <f>'RAW DATA'!G78/'RAW DATA'!H78</f>
        <v>0.3202720455712203</v>
      </c>
      <c r="D65" s="136">
        <f>'RAW DATA'!G78/'RAW DATA'!E78</f>
        <v>0.24258034292671363</v>
      </c>
      <c r="E65" s="132">
        <f>'RAW DATA'!L78/'RAW DATA'!H78</f>
        <v>0.11214327143201795</v>
      </c>
      <c r="F65" s="135">
        <f>'RAW DATA'!D78/'RAW DATA'!E78</f>
        <v>0.4955666370224005</v>
      </c>
      <c r="G65" s="132">
        <f>'RAW DATA'!C78/'RAW DATA'!F78</f>
        <v>2.6991048038675847</v>
      </c>
      <c r="H65" s="132">
        <f>('RAW DATA'!I78-'RAW DATA'!I77)/'RAW DATA'!I77</f>
        <v>0.28018383611753273</v>
      </c>
      <c r="I65" s="133">
        <f>LN('RAW DATA'!E78)</f>
        <v>30.347799052387249</v>
      </c>
      <c r="J65" s="132">
        <f>'RAW DATA'!K78/'RAW DATA'!J78</f>
        <v>0.13763300056153435</v>
      </c>
      <c r="K65" s="136">
        <f>LN('RAW DATA'!O78)</f>
        <v>3.3672958299864741</v>
      </c>
      <c r="L65" s="137">
        <f>'RAW DATA'!M78/'RAW DATA'!E78</f>
        <v>1.4071570706130985E-3</v>
      </c>
    </row>
    <row r="66" spans="1:12" ht="22.5" customHeight="1" x14ac:dyDescent="0.2">
      <c r="A66" s="88" t="s">
        <v>27</v>
      </c>
      <c r="B66" s="141">
        <v>2024</v>
      </c>
      <c r="C66" s="136">
        <f>'RAW DATA'!G79/'RAW DATA'!H79</f>
        <v>0.21020236343129053</v>
      </c>
      <c r="D66" s="136">
        <f>'RAW DATA'!G79/'RAW DATA'!E79</f>
        <v>0.17369191284282665</v>
      </c>
      <c r="E66" s="132">
        <f>'RAW DATA'!L79/'RAW DATA'!H79</f>
        <v>0.11590482869463413</v>
      </c>
      <c r="F66" s="135">
        <f>'RAW DATA'!D79/'RAW DATA'!E79</f>
        <v>0.53369713945315411</v>
      </c>
      <c r="G66" s="132">
        <f>'RAW DATA'!C79/'RAW DATA'!F79</f>
        <v>3.9088184576070684</v>
      </c>
      <c r="H66" s="132">
        <f>('RAW DATA'!I79-'RAW DATA'!I78)/'RAW DATA'!I78</f>
        <v>0.14505359379906271</v>
      </c>
      <c r="I66" s="133">
        <f>LN('RAW DATA'!E79)</f>
        <v>30.29563460298041</v>
      </c>
      <c r="J66" s="132">
        <f>'RAW DATA'!K79/'RAW DATA'!J79</f>
        <v>0.11463700560977909</v>
      </c>
      <c r="K66" s="136">
        <f>LN('RAW DATA'!O79)</f>
        <v>3.4011973816621555</v>
      </c>
      <c r="L66" s="137">
        <f>'RAW DATA'!M79/'RAW DATA'!E79</f>
        <v>1.5154966230745261E-3</v>
      </c>
    </row>
    <row r="67" spans="1:12" ht="22.5" customHeight="1" x14ac:dyDescent="0.2">
      <c r="A67" s="142" t="s">
        <v>28</v>
      </c>
      <c r="B67" s="37">
        <v>2020</v>
      </c>
      <c r="C67" s="136">
        <f>'RAW DATA'!G81/'RAW DATA'!H81</f>
        <v>0.4015798398063869</v>
      </c>
      <c r="D67" s="136">
        <f>'RAW DATA'!G81/'RAW DATA'!E81</f>
        <v>0.28651941787480389</v>
      </c>
      <c r="E67" s="132">
        <f>'RAW DATA'!L81/'RAW DATA'!H81</f>
        <v>-3.8687298122096897E-2</v>
      </c>
      <c r="F67" s="135">
        <f>'RAW DATA'!D81/'RAW DATA'!E81</f>
        <v>0.77138845256150579</v>
      </c>
      <c r="G67" s="132">
        <f>'RAW DATA'!C81/'RAW DATA'!F81</f>
        <v>1.0892285423338406</v>
      </c>
      <c r="H67" s="132">
        <f>('RAW DATA'!I81-'RAW DATA'!I80)/'RAW DATA'!I80</f>
        <v>-0.36963606902167462</v>
      </c>
      <c r="I67" s="133">
        <f>LN('RAW DATA'!E81)</f>
        <v>30.101104779402686</v>
      </c>
      <c r="J67" s="133">
        <f>'RAW DATA'!K81/'RAW DATA'!J81</f>
        <v>-4.6177312105593712E-2</v>
      </c>
      <c r="K67" s="136">
        <f>LN('RAW DATA'!O81)</f>
        <v>3.2188758248682006</v>
      </c>
      <c r="L67" s="137">
        <f>'RAW DATA'!M81/'RAW DATA'!E81</f>
        <v>8.5782170259136176E-3</v>
      </c>
    </row>
    <row r="68" spans="1:12" ht="22.5" customHeight="1" x14ac:dyDescent="0.2">
      <c r="A68" s="142" t="s">
        <v>28</v>
      </c>
      <c r="B68" s="42">
        <v>2021</v>
      </c>
      <c r="C68" s="136">
        <f>'RAW DATA'!G82/'RAW DATA'!H82</f>
        <v>0.43369247640573</v>
      </c>
      <c r="D68" s="136">
        <f>'RAW DATA'!G82/'RAW DATA'!E82</f>
        <v>0.30250035034918921</v>
      </c>
      <c r="E68" s="132">
        <f>'RAW DATA'!L82/'RAW DATA'!H82</f>
        <v>-3.3571582428520666E-2</v>
      </c>
      <c r="F68" s="135">
        <f>'RAW DATA'!D82/'RAW DATA'!E82</f>
        <v>0.76520235116194801</v>
      </c>
      <c r="G68" s="132">
        <f>'RAW DATA'!C82/'RAW DATA'!F82</f>
        <v>1.0287274279404439</v>
      </c>
      <c r="H68" s="132">
        <f>('RAW DATA'!I82-'RAW DATA'!I81)/'RAW DATA'!I81</f>
        <v>0.27295682809946592</v>
      </c>
      <c r="I68" s="133">
        <f>LN('RAW DATA'!E82)</f>
        <v>30.089002084600189</v>
      </c>
      <c r="J68" s="133">
        <f>'RAW DATA'!K82/'RAW DATA'!J82</f>
        <v>-0.13975785509140626</v>
      </c>
      <c r="K68" s="136">
        <f>LN('RAW DATA'!O82)</f>
        <v>3.2580965380214821</v>
      </c>
      <c r="L68" s="137">
        <f>'RAW DATA'!M82/'RAW DATA'!E82</f>
        <v>8.5899543052201047E-3</v>
      </c>
    </row>
    <row r="69" spans="1:12" ht="22.5" customHeight="1" x14ac:dyDescent="0.2">
      <c r="A69" s="142" t="s">
        <v>28</v>
      </c>
      <c r="B69" s="42">
        <v>2022</v>
      </c>
      <c r="C69" s="136">
        <f>'RAW DATA'!G83/'RAW DATA'!H83</f>
        <v>0.36891306872404234</v>
      </c>
      <c r="D69" s="136">
        <f>'RAW DATA'!G83/'RAW DATA'!E83</f>
        <v>0.26949342303226353</v>
      </c>
      <c r="E69" s="132">
        <f>'RAW DATA'!L83/'RAW DATA'!H83</f>
        <v>-0.10903558166859918</v>
      </c>
      <c r="F69" s="135">
        <f>'RAW DATA'!D83/'RAW DATA'!E83</f>
        <v>0.73091672644230432</v>
      </c>
      <c r="G69" s="132">
        <f>'RAW DATA'!C83/'RAW DATA'!F83</f>
        <v>1.2601273757774392</v>
      </c>
      <c r="H69" s="132">
        <f>('RAW DATA'!I83-'RAW DATA'!I82)/'RAW DATA'!I82</f>
        <v>0.30956005150367794</v>
      </c>
      <c r="I69" s="133">
        <f>LN('RAW DATA'!E83)</f>
        <v>29.924914444742026</v>
      </c>
      <c r="J69" s="133">
        <f>'RAW DATA'!K83/'RAW DATA'!J83</f>
        <v>-0.83203342618384402</v>
      </c>
      <c r="K69" s="136">
        <f>LN('RAW DATA'!O83)</f>
        <v>3.2958368660043291</v>
      </c>
      <c r="L69" s="137">
        <f>'RAW DATA'!M83/'RAW DATA'!E83</f>
        <v>9.5810150624519655E-3</v>
      </c>
    </row>
    <row r="70" spans="1:12" ht="22.5" customHeight="1" x14ac:dyDescent="0.2">
      <c r="A70" s="142" t="s">
        <v>28</v>
      </c>
      <c r="B70" s="42">
        <v>2023</v>
      </c>
      <c r="C70" s="136">
        <f>'RAW DATA'!G84/'RAW DATA'!H84</f>
        <v>0.40902100633721211</v>
      </c>
      <c r="D70" s="136">
        <f>'RAW DATA'!G84/'RAW DATA'!E84</f>
        <v>0.29028737293312123</v>
      </c>
      <c r="E70" s="132">
        <f>'RAW DATA'!L84/'RAW DATA'!H84</f>
        <v>-0.18308793727864406</v>
      </c>
      <c r="F70" s="135">
        <f>'RAW DATA'!D84/'RAW DATA'!E84</f>
        <v>0.71859936499984434</v>
      </c>
      <c r="G70" s="132">
        <f>'RAW DATA'!C84/'RAW DATA'!F84</f>
        <v>1.2139957563194537</v>
      </c>
      <c r="H70" s="132">
        <f>('RAW DATA'!I84-'RAW DATA'!I83)/'RAW DATA'!I83</f>
        <v>0.23963233232609576</v>
      </c>
      <c r="I70" s="133">
        <f>LN('RAW DATA'!E84)</f>
        <v>29.787314086255801</v>
      </c>
      <c r="J70" s="133">
        <f>'RAW DATA'!K84/'RAW DATA'!J84</f>
        <v>-0.11649886433126583</v>
      </c>
      <c r="K70" s="136">
        <f>LN('RAW DATA'!O84)</f>
        <v>3.3322045101752038</v>
      </c>
      <c r="L70" s="137">
        <f>'RAW DATA'!M84/'RAW DATA'!E84</f>
        <v>7.0417440430102698E-3</v>
      </c>
    </row>
    <row r="71" spans="1:12" ht="22.5" customHeight="1" x14ac:dyDescent="0.2">
      <c r="A71" s="143" t="s">
        <v>28</v>
      </c>
      <c r="B71" s="44">
        <v>2024</v>
      </c>
      <c r="C71" s="136">
        <f>'RAW DATA'!G85/'RAW DATA'!H85</f>
        <v>0.45114624893035854</v>
      </c>
      <c r="D71" s="136">
        <f>'RAW DATA'!G85/'RAW DATA'!E85</f>
        <v>0.31088958074549616</v>
      </c>
      <c r="E71" s="132">
        <f>'RAW DATA'!L85/'RAW DATA'!H85</f>
        <v>-1.6923034785445074E-2</v>
      </c>
      <c r="F71" s="135">
        <f>'RAW DATA'!D85/'RAW DATA'!E85</f>
        <v>0.81454943407225133</v>
      </c>
      <c r="G71" s="132">
        <f>'RAW DATA'!C85/'RAW DATA'!F85</f>
        <v>0.89143313366229382</v>
      </c>
      <c r="H71" s="132">
        <f>('RAW DATA'!I85-'RAW DATA'!I84)/'RAW DATA'!I84</f>
        <v>-3.6634495323506544E-2</v>
      </c>
      <c r="I71" s="133">
        <f>LN('RAW DATA'!E85)</f>
        <v>29.799162057002874</v>
      </c>
      <c r="J71" s="133">
        <f>'RAW DATA'!K85/'RAW DATA'!J85</f>
        <v>0.33358908020340799</v>
      </c>
      <c r="K71" s="136">
        <f>LN('RAW DATA'!O85)</f>
        <v>3.3672958299864741</v>
      </c>
      <c r="L71" s="137">
        <f>'RAW DATA'!M85/'RAW DATA'!E85</f>
        <v>7.606482577190138E-3</v>
      </c>
    </row>
    <row r="72" spans="1:12" ht="22.5" customHeight="1" x14ac:dyDescent="0.2">
      <c r="A72" s="48" t="s">
        <v>29</v>
      </c>
      <c r="B72" s="37">
        <v>2020</v>
      </c>
      <c r="C72" s="136">
        <f>'RAW DATA'!G87/'RAW DATA'!H87</f>
        <v>3.475248880867432</v>
      </c>
      <c r="D72" s="136">
        <f>'RAW DATA'!G87/'RAW DATA'!E87</f>
        <v>0.77654874027784326</v>
      </c>
      <c r="E72" s="132">
        <f>'RAW DATA'!L87/'RAW DATA'!H87</f>
        <v>-0.10324882239343104</v>
      </c>
      <c r="F72" s="135">
        <f>'RAW DATA'!D87/'RAW DATA'!E87</f>
        <v>0.2455964288510378</v>
      </c>
      <c r="G72" s="132">
        <f>'RAW DATA'!C87/'RAW DATA'!F87</f>
        <v>2.0854060986841745</v>
      </c>
      <c r="H72" s="132">
        <f>('RAW DATA'!I87-'RAW DATA'!I86)/'RAW DATA'!I86</f>
        <v>-0.48129669861107655</v>
      </c>
      <c r="I72" s="133">
        <f>LN('RAW DATA'!E87)</f>
        <v>28.528762578311337</v>
      </c>
      <c r="J72" s="132">
        <f>'RAW DATA'!K87/'RAW DATA'!J87</f>
        <v>-0.14974083569802202</v>
      </c>
      <c r="K72" s="136">
        <f>LN('RAW DATA'!O87)</f>
        <v>2.1972245773362196</v>
      </c>
      <c r="L72" s="137">
        <f>'RAW DATA'!M87/'RAW DATA'!E87</f>
        <v>1.1303235058650596E-3</v>
      </c>
    </row>
    <row r="73" spans="1:12" ht="22.5" customHeight="1" x14ac:dyDescent="0.2">
      <c r="A73" s="48" t="s">
        <v>29</v>
      </c>
      <c r="B73" s="42">
        <v>2021</v>
      </c>
      <c r="C73" s="136">
        <f>'RAW DATA'!G88/'RAW DATA'!H88</f>
        <v>1.1998507224983068</v>
      </c>
      <c r="D73" s="136">
        <f>'RAW DATA'!G88/'RAW DATA'!E88</f>
        <v>0.54542370090260994</v>
      </c>
      <c r="E73" s="132">
        <f>'RAW DATA'!L88/'RAW DATA'!H88</f>
        <v>0.6101661128351471</v>
      </c>
      <c r="F73" s="135">
        <f>'RAW DATA'!D88/'RAW DATA'!E88</f>
        <v>0.60079064950784722</v>
      </c>
      <c r="G73" s="132">
        <f>'RAW DATA'!C88/'RAW DATA'!F88</f>
        <v>1.4866643573877776</v>
      </c>
      <c r="H73" s="132">
        <f>('RAW DATA'!I88-'RAW DATA'!I87)/'RAW DATA'!I87</f>
        <v>1.024997709407536</v>
      </c>
      <c r="I73" s="133">
        <f>LN('RAW DATA'!E88)</f>
        <v>28.947064401170284</v>
      </c>
      <c r="J73" s="132">
        <f>'RAW DATA'!K88/'RAW DATA'!J88</f>
        <v>1.2682252578357796</v>
      </c>
      <c r="K73" s="136">
        <f>LN('RAW DATA'!O88)</f>
        <v>2.3025850929940459</v>
      </c>
      <c r="L73" s="137">
        <f>'RAW DATA'!M88/'RAW DATA'!E88</f>
        <v>6.701716036813921E-4</v>
      </c>
    </row>
    <row r="74" spans="1:12" ht="22.5" customHeight="1" x14ac:dyDescent="0.2">
      <c r="A74" s="48" t="s">
        <v>29</v>
      </c>
      <c r="B74" s="42">
        <v>2022</v>
      </c>
      <c r="C74" s="136">
        <f>'RAW DATA'!G89/'RAW DATA'!H89</f>
        <v>1.3020738427804608</v>
      </c>
      <c r="D74" s="136">
        <f>'RAW DATA'!G89/'RAW DATA'!E89</f>
        <v>0.56560906891145024</v>
      </c>
      <c r="E74" s="132">
        <f>'RAW DATA'!L89/'RAW DATA'!H89</f>
        <v>-4.198314757001198E-2</v>
      </c>
      <c r="F74" s="135">
        <f>'RAW DATA'!D89/'RAW DATA'!E89</f>
        <v>0.59862250791425275</v>
      </c>
      <c r="G74" s="132">
        <f>'RAW DATA'!C89/'RAW DATA'!F89</f>
        <v>1.3719755136290102</v>
      </c>
      <c r="H74" s="132">
        <f>('RAW DATA'!I89-'RAW DATA'!I88)/'RAW DATA'!I88</f>
        <v>-0.1156649615482432</v>
      </c>
      <c r="I74" s="133">
        <f>LN('RAW DATA'!E89)</f>
        <v>28.951109362798846</v>
      </c>
      <c r="J74" s="132">
        <f>'RAW DATA'!K89/'RAW DATA'!J89</f>
        <v>0.43634475449181659</v>
      </c>
      <c r="K74" s="136">
        <f>LN('RAW DATA'!O89)</f>
        <v>2.3978952727983707</v>
      </c>
      <c r="L74" s="137">
        <f>'RAW DATA'!M89/'RAW DATA'!E89</f>
        <v>6.2974408283085221E-4</v>
      </c>
    </row>
    <row r="75" spans="1:12" ht="22.5" customHeight="1" x14ac:dyDescent="0.2">
      <c r="A75" s="48" t="s">
        <v>29</v>
      </c>
      <c r="B75" s="42">
        <v>2023</v>
      </c>
      <c r="C75" s="136">
        <f>'RAW DATA'!G90/'RAW DATA'!H90</f>
        <v>1.5915746453452311</v>
      </c>
      <c r="D75" s="136">
        <f>'RAW DATA'!G90/'RAW DATA'!E90</f>
        <v>0.61413420917814732</v>
      </c>
      <c r="E75" s="132">
        <f>'RAW DATA'!L90/'RAW DATA'!H90</f>
        <v>-0.19997977603713984</v>
      </c>
      <c r="F75" s="135">
        <f>'RAW DATA'!D90/'RAW DATA'!E90</f>
        <v>0.57631338839137125</v>
      </c>
      <c r="G75" s="132">
        <f>'RAW DATA'!C90/'RAW DATA'!F90</f>
        <v>1.344893136619308</v>
      </c>
      <c r="H75" s="132">
        <f>('RAW DATA'!I90-'RAW DATA'!I89)/'RAW DATA'!I89</f>
        <v>7.4685173341346505E-3</v>
      </c>
      <c r="I75" s="133">
        <f>LN('RAW DATA'!E90)</f>
        <v>28.889270504426197</v>
      </c>
      <c r="J75" s="132">
        <f>'RAW DATA'!K90/'RAW DATA'!J90</f>
        <v>0.156039614041455</v>
      </c>
      <c r="K75" s="136">
        <f>LN('RAW DATA'!O90)</f>
        <v>2.4849066497880004</v>
      </c>
      <c r="L75" s="137">
        <f>'RAW DATA'!M90/'RAW DATA'!E90</f>
        <v>5.3371806685476183E-4</v>
      </c>
    </row>
    <row r="76" spans="1:12" ht="22.5" customHeight="1" x14ac:dyDescent="0.2">
      <c r="A76" s="49" t="s">
        <v>29</v>
      </c>
      <c r="B76" s="44">
        <v>2024</v>
      </c>
      <c r="C76" s="136">
        <f>'RAW DATA'!G91/'RAW DATA'!H91</f>
        <v>0.99357241367297078</v>
      </c>
      <c r="D76" s="136">
        <f>'RAW DATA'!G91/'RAW DATA'!E91</f>
        <v>0.49838792253470565</v>
      </c>
      <c r="E76" s="132">
        <f>'RAW DATA'!L91/'RAW DATA'!H91</f>
        <v>0.27804923700292183</v>
      </c>
      <c r="F76" s="135">
        <f>'RAW DATA'!D91/'RAW DATA'!E91</f>
        <v>0.56821459458380374</v>
      </c>
      <c r="G76" s="132">
        <f>'RAW DATA'!C91/'RAW DATA'!F91</f>
        <v>1.9097523040646935</v>
      </c>
      <c r="H76" s="132">
        <f>('RAW DATA'!I91-'RAW DATA'!I90)/'RAW DATA'!I90</f>
        <v>7.7583508227568885</v>
      </c>
      <c r="I76" s="133">
        <f>LN('RAW DATA'!E91)</f>
        <v>28.952181749530155</v>
      </c>
      <c r="J76" s="132">
        <f>'RAW DATA'!K91/'RAW DATA'!J91</f>
        <v>6.6732567296385326E-2</v>
      </c>
      <c r="K76" s="136">
        <f>LN('RAW DATA'!O91)</f>
        <v>2.5649493574615367</v>
      </c>
      <c r="L76" s="137">
        <f>'RAW DATA'!M91/'RAW DATA'!E91</f>
        <v>4.8463898612056305E-4</v>
      </c>
    </row>
    <row r="77" spans="1:12" ht="22.5" customHeight="1" x14ac:dyDescent="0.2">
      <c r="A77" s="48" t="s">
        <v>30</v>
      </c>
      <c r="B77" s="37">
        <v>2020</v>
      </c>
      <c r="C77" s="132">
        <f>'RAW DATA'!G93/'RAW DATA'!H93</f>
        <v>0.39272457375140002</v>
      </c>
      <c r="D77" s="132">
        <f>'RAW DATA'!G93/'RAW DATA'!E93</f>
        <v>0.28198294275340396</v>
      </c>
      <c r="E77" s="132">
        <f>'RAW DATA'!L93/'RAW DATA'!H93</f>
        <v>-2.3701083834560639E-3</v>
      </c>
      <c r="F77" s="132">
        <f>'RAW DATA'!D93/'RAW DATA'!E93</f>
        <v>0.69312663654376816</v>
      </c>
      <c r="G77" s="132">
        <f>'RAW DATA'!C93/'RAW DATA'!F93</f>
        <v>3.2730872556371464</v>
      </c>
      <c r="H77" s="132">
        <f>('RAW DATA'!I93-'RAW DATA'!I92)/'RAW DATA'!I92</f>
        <v>-0.39085067192324596</v>
      </c>
      <c r="I77" s="133">
        <f>LN('RAW DATA'!E93)</f>
        <v>27.492571882604228</v>
      </c>
      <c r="J77" s="132">
        <f>'RAW DATA'!K93/'RAW DATA'!J93</f>
        <v>7.901915347129447E-2</v>
      </c>
      <c r="K77" s="132">
        <f>LN('RAW DATA'!O93)</f>
        <v>2.9957322735539909</v>
      </c>
      <c r="L77" s="133">
        <f>'RAW DATA'!M93/'RAW DATA'!E93</f>
        <v>1.1045161455884356E-4</v>
      </c>
    </row>
    <row r="78" spans="1:12" ht="22.5" customHeight="1" x14ac:dyDescent="0.2">
      <c r="A78" s="48" t="s">
        <v>30</v>
      </c>
      <c r="B78" s="42">
        <v>2021</v>
      </c>
      <c r="C78" s="132">
        <f>'RAW DATA'!G94/'RAW DATA'!H94</f>
        <v>0.36704877605216685</v>
      </c>
      <c r="D78" s="132">
        <f>'RAW DATA'!G94/'RAW DATA'!E94</f>
        <v>0.26849720542682393</v>
      </c>
      <c r="E78" s="132">
        <f>'RAW DATA'!L94/'RAW DATA'!H94</f>
        <v>1.3469150711565049E-2</v>
      </c>
      <c r="F78" s="132">
        <f>'RAW DATA'!D94/'RAW DATA'!E94</f>
        <v>0.71454488885441736</v>
      </c>
      <c r="G78" s="132">
        <f>'RAW DATA'!C94/'RAW DATA'!F94</f>
        <v>1.2799817119361121</v>
      </c>
      <c r="H78" s="132">
        <f>('RAW DATA'!I94-'RAW DATA'!I93)/'RAW DATA'!I93</f>
        <v>2.7619736987097136E-2</v>
      </c>
      <c r="I78" s="133">
        <f>LN('RAW DATA'!E94)</f>
        <v>27.490644260351761</v>
      </c>
      <c r="J78" s="132">
        <f>'RAW DATA'!K94/'RAW DATA'!J94</f>
        <v>5.1740865591465679E-2</v>
      </c>
      <c r="K78" s="132">
        <f>LN('RAW DATA'!O94)</f>
        <v>3.044522437723423</v>
      </c>
      <c r="L78" s="133">
        <f>'RAW DATA'!M94/'RAW DATA'!E94</f>
        <v>1.4395085772315411E-4</v>
      </c>
    </row>
    <row r="79" spans="1:12" ht="22.5" customHeight="1" x14ac:dyDescent="0.2">
      <c r="A79" s="48" t="s">
        <v>30</v>
      </c>
      <c r="B79" s="42">
        <v>2022</v>
      </c>
      <c r="C79" s="132">
        <f>'RAW DATA'!G95/'RAW DATA'!H95</f>
        <v>0.15470596009653428</v>
      </c>
      <c r="D79" s="132">
        <f>'RAW DATA'!G95/'RAW DATA'!E95</f>
        <v>0.13397866248460885</v>
      </c>
      <c r="E79" s="132">
        <f>'RAW DATA'!L95/'RAW DATA'!H95</f>
        <v>2.6524386615547763E-2</v>
      </c>
      <c r="F79" s="132">
        <f>'RAW DATA'!D95/'RAW DATA'!E95</f>
        <v>0.74168241463219176</v>
      </c>
      <c r="G79" s="132">
        <f>'RAW DATA'!C95/'RAW DATA'!F95</f>
        <v>2.8458846654890557</v>
      </c>
      <c r="H79" s="132">
        <f>('RAW DATA'!I95-'RAW DATA'!I94)/'RAW DATA'!I94</f>
        <v>-6.9320774560743632E-3</v>
      </c>
      <c r="I79" s="133">
        <f>LN('RAW DATA'!E95)</f>
        <v>27.347152885621025</v>
      </c>
      <c r="J79" s="132">
        <f>'RAW DATA'!K95/'RAW DATA'!J95</f>
        <v>5.8273505282823462E-2</v>
      </c>
      <c r="K79" s="132">
        <f>LN('RAW DATA'!O95)</f>
        <v>3.0910424533583161</v>
      </c>
      <c r="L79" s="133">
        <f>'RAW DATA'!M95/'RAW DATA'!E95</f>
        <v>9.8745033639398495E-5</v>
      </c>
    </row>
    <row r="80" spans="1:12" ht="22.5" customHeight="1" x14ac:dyDescent="0.2">
      <c r="A80" s="48" t="s">
        <v>30</v>
      </c>
      <c r="B80" s="42">
        <v>2023</v>
      </c>
      <c r="C80" s="132">
        <f>'RAW DATA'!G96/'RAW DATA'!H96</f>
        <v>0.16885352359795147</v>
      </c>
      <c r="D80" s="132">
        <f>'RAW DATA'!G96/'RAW DATA'!E96</f>
        <v>0.14446080726880858</v>
      </c>
      <c r="E80" s="132">
        <f>'RAW DATA'!L96/'RAW DATA'!H96</f>
        <v>2.5940956693187665E-2</v>
      </c>
      <c r="F80" s="132">
        <f>'RAW DATA'!D96/'RAW DATA'!E96</f>
        <v>0.76391724495108504</v>
      </c>
      <c r="G80" s="132">
        <f>'RAW DATA'!C96/'RAW DATA'!F96</f>
        <v>2.060374564619853</v>
      </c>
      <c r="H80" s="132">
        <f>('RAW DATA'!I96-'RAW DATA'!I95)/'RAW DATA'!I95</f>
        <v>-0.18697779701191702</v>
      </c>
      <c r="I80" s="133">
        <f>LN('RAW DATA'!E96)</f>
        <v>27.385549399714634</v>
      </c>
      <c r="J80" s="132">
        <f>'RAW DATA'!K96/'RAW DATA'!J96</f>
        <v>5.7461655024220175E-2</v>
      </c>
      <c r="K80" s="132">
        <f>LN('RAW DATA'!O96)</f>
        <v>3.1354942159291497</v>
      </c>
      <c r="L80" s="133">
        <f>'RAW DATA'!M96/'RAW DATA'!E96</f>
        <v>2.9712272353344955E-4</v>
      </c>
    </row>
    <row r="81" spans="1:12" ht="22.5" customHeight="1" x14ac:dyDescent="0.2">
      <c r="A81" s="49" t="s">
        <v>30</v>
      </c>
      <c r="B81" s="44">
        <v>2024</v>
      </c>
      <c r="C81" s="132">
        <f>'RAW DATA'!G97/'RAW DATA'!H97</f>
        <v>0.14366659376021798</v>
      </c>
      <c r="D81" s="132">
        <f>'RAW DATA'!G97/'RAW DATA'!E97</f>
        <v>0.12561929721831083</v>
      </c>
      <c r="E81" s="132">
        <f>'RAW DATA'!L97/'RAW DATA'!H97</f>
        <v>1.5248879555600838E-2</v>
      </c>
      <c r="F81" s="132">
        <f>'RAW DATA'!D97/'RAW DATA'!E97</f>
        <v>0.77212439389204757</v>
      </c>
      <c r="G81" s="132">
        <f>'RAW DATA'!C97/'RAW DATA'!F97</f>
        <v>2.0987405703842383</v>
      </c>
      <c r="H81" s="132">
        <f>('RAW DATA'!I97-'RAW DATA'!I96)/'RAW DATA'!I96</f>
        <v>-0.17055768239181054</v>
      </c>
      <c r="I81" s="133">
        <f>LN('RAW DATA'!E97)</f>
        <v>27.379104737690543</v>
      </c>
      <c r="J81" s="132">
        <f>'RAW DATA'!K97/'RAW DATA'!J97</f>
        <v>5.869170291883205E-2</v>
      </c>
      <c r="K81" s="132">
        <f>LN('RAW DATA'!O97)</f>
        <v>3.1780538303479458</v>
      </c>
      <c r="L81" s="133">
        <f>'RAW DATA'!M97/'RAW DATA'!E97</f>
        <v>3.4459965675793256E-4</v>
      </c>
    </row>
    <row r="82" spans="1:12" ht="22.5" customHeight="1" x14ac:dyDescent="0.2">
      <c r="A82" s="48" t="s">
        <v>31</v>
      </c>
      <c r="B82" s="37">
        <v>2020</v>
      </c>
      <c r="C82" s="132">
        <f>'RAW DATA'!G99/'RAW DATA'!H99</f>
        <v>0.68790842785180273</v>
      </c>
      <c r="D82" s="132">
        <f>'RAW DATA'!G99/'RAW DATA'!E99</f>
        <v>0.40755079866939359</v>
      </c>
      <c r="E82" s="132">
        <f>'RAW DATA'!L99/'RAW DATA'!H99</f>
        <v>-0.18113013788775909</v>
      </c>
      <c r="F82" s="132">
        <f>'RAW DATA'!D99/'RAW DATA'!E99</f>
        <v>0.52740345203452066</v>
      </c>
      <c r="G82" s="132">
        <f>'RAW DATA'!C99/'RAW DATA'!F99</f>
        <v>1.3923526134852999</v>
      </c>
      <c r="H82" s="132">
        <f>('RAW DATA'!I99-'RAW DATA'!I98)/'RAW DATA'!I98</f>
        <v>-0.18742289055249781</v>
      </c>
      <c r="I82" s="133">
        <f>LN('RAW DATA'!E99)</f>
        <v>27.618263221070329</v>
      </c>
      <c r="J82" s="132">
        <f>'RAW DATA'!K99/'RAW DATA'!J99</f>
        <v>-4.6538391521284391E-3</v>
      </c>
      <c r="K82" s="132">
        <f>LN('RAW DATA'!O99)</f>
        <v>2.9957322735539909</v>
      </c>
      <c r="L82" s="133">
        <f>'RAW DATA'!M99/'RAW DATA'!E99</f>
        <v>4.1403821360064133E-4</v>
      </c>
    </row>
    <row r="83" spans="1:12" ht="22.5" customHeight="1" x14ac:dyDescent="0.2">
      <c r="A83" s="48" t="s">
        <v>31</v>
      </c>
      <c r="B83" s="42">
        <v>2021</v>
      </c>
      <c r="C83" s="132">
        <f>'RAW DATA'!G100/'RAW DATA'!H100</f>
        <v>0.92602222229967612</v>
      </c>
      <c r="D83" s="132">
        <f>'RAW DATA'!G100/'RAW DATA'!E100</f>
        <v>0.48079519103055984</v>
      </c>
      <c r="E83" s="132">
        <f>'RAW DATA'!L100/'RAW DATA'!H100</f>
        <v>-4.9143251342691992E-2</v>
      </c>
      <c r="F83" s="132">
        <f>'RAW DATA'!D100/'RAW DATA'!E100</f>
        <v>0.54004594313004162</v>
      </c>
      <c r="G83" s="132">
        <f>'RAW DATA'!C100/'RAW DATA'!F100</f>
        <v>1.6995655200461279</v>
      </c>
      <c r="H83" s="132">
        <f>('RAW DATA'!I100-'RAW DATA'!I99)/'RAW DATA'!I99</f>
        <v>-0.17336543523922499</v>
      </c>
      <c r="I83" s="133">
        <f>LN('RAW DATA'!E100)</f>
        <v>27.70141866131809</v>
      </c>
      <c r="J83" s="132">
        <f>'RAW DATA'!K100/'RAW DATA'!J100</f>
        <v>-5.7092340258381974E-2</v>
      </c>
      <c r="K83" s="132">
        <f>LN('RAW DATA'!O100)</f>
        <v>3.044522437723423</v>
      </c>
      <c r="L83" s="133">
        <f>'RAW DATA'!M100/'RAW DATA'!E100</f>
        <v>1.1258602348009424E-3</v>
      </c>
    </row>
    <row r="84" spans="1:12" ht="22.5" customHeight="1" x14ac:dyDescent="0.2">
      <c r="A84" s="48" t="s">
        <v>31</v>
      </c>
      <c r="B84" s="42">
        <v>2022</v>
      </c>
      <c r="C84" s="132">
        <f>'RAW DATA'!G101/'RAW DATA'!H101</f>
        <v>1.0495507852585326</v>
      </c>
      <c r="D84" s="132">
        <f>'RAW DATA'!G101/'RAW DATA'!E101</f>
        <v>0.51208820625839779</v>
      </c>
      <c r="E84" s="132">
        <f>'RAW DATA'!L101/'RAW DATA'!H101</f>
        <v>1.5885714147629574E-2</v>
      </c>
      <c r="F84" s="132">
        <f>'RAW DATA'!D101/'RAW DATA'!E101</f>
        <v>0.57118312138852134</v>
      </c>
      <c r="G84" s="132">
        <f>'RAW DATA'!C101/'RAW DATA'!F101</f>
        <v>1.3566498579265682</v>
      </c>
      <c r="H84" s="132">
        <f>('RAW DATA'!I101-'RAW DATA'!I100)/'RAW DATA'!I100</f>
        <v>1.2728673746377301</v>
      </c>
      <c r="I84" s="133">
        <f>LN('RAW DATA'!E101)</f>
        <v>27.780251555600831</v>
      </c>
      <c r="J84" s="132">
        <f>'RAW DATA'!K101/'RAW DATA'!J101</f>
        <v>5.9855458847415067E-3</v>
      </c>
      <c r="K84" s="132">
        <f>LN('RAW DATA'!O101)</f>
        <v>3.0910424533583161</v>
      </c>
      <c r="L84" s="133">
        <f>'RAW DATA'!M101/'RAW DATA'!E101</f>
        <v>2.1094493588287196E-3</v>
      </c>
    </row>
    <row r="85" spans="1:12" ht="22.5" customHeight="1" x14ac:dyDescent="0.2">
      <c r="A85" s="48" t="s">
        <v>31</v>
      </c>
      <c r="B85" s="42">
        <v>2023</v>
      </c>
      <c r="C85" s="132">
        <f>'RAW DATA'!G102/'RAW DATA'!H102</f>
        <v>0.72908647048755681</v>
      </c>
      <c r="D85" s="132">
        <f>'RAW DATA'!G102/'RAW DATA'!E102</f>
        <v>0.42165992443511147</v>
      </c>
      <c r="E85" s="132">
        <f>'RAW DATA'!L102/'RAW DATA'!H102</f>
        <v>0.1852897453578318</v>
      </c>
      <c r="F85" s="132">
        <f>'RAW DATA'!D102/'RAW DATA'!E102</f>
        <v>0.51791804585408618</v>
      </c>
      <c r="G85" s="132">
        <f>'RAW DATA'!C102/'RAW DATA'!F102</f>
        <v>1.846720867063077</v>
      </c>
      <c r="H85" s="132">
        <f>('RAW DATA'!I102-'RAW DATA'!I101)/'RAW DATA'!I101</f>
        <v>0.20429356831170356</v>
      </c>
      <c r="I85" s="133">
        <f>LN('RAW DATA'!E102)</f>
        <v>27.816616896702797</v>
      </c>
      <c r="J85" s="132">
        <f>'RAW DATA'!K102/'RAW DATA'!J102</f>
        <v>3.2386071065491481E-3</v>
      </c>
      <c r="K85" s="132">
        <f>LN('RAW DATA'!O102)</f>
        <v>3.1354942159291497</v>
      </c>
      <c r="L85" s="133">
        <f>'RAW DATA'!M102/'RAW DATA'!E102</f>
        <v>2.2130542325666906E-3</v>
      </c>
    </row>
    <row r="86" spans="1:12" ht="22.5" customHeight="1" x14ac:dyDescent="0.2">
      <c r="A86" s="49" t="s">
        <v>31</v>
      </c>
      <c r="B86" s="44">
        <v>2024</v>
      </c>
      <c r="C86" s="132">
        <f>'RAW DATA'!G103/'RAW DATA'!H103</f>
        <v>0.55746679151690415</v>
      </c>
      <c r="D86" s="132">
        <f>'RAW DATA'!G103/'RAW DATA'!E103</f>
        <v>0.35793173540089163</v>
      </c>
      <c r="E86" s="132">
        <f>'RAW DATA'!L103/'RAW DATA'!H103</f>
        <v>0.16470794634564348</v>
      </c>
      <c r="F86" s="132">
        <f>'RAW DATA'!D103/'RAW DATA'!E103</f>
        <v>0.44859735068823858</v>
      </c>
      <c r="G86" s="132">
        <f>'RAW DATA'!C103/'RAW DATA'!F103</f>
        <v>3.1813441569642933</v>
      </c>
      <c r="H86" s="132">
        <f>('RAW DATA'!I103-'RAW DATA'!I102)/'RAW DATA'!I102</f>
        <v>5.4283477781354741E-2</v>
      </c>
      <c r="I86" s="133">
        <f>LN('RAW DATA'!E103)</f>
        <v>27.888823420653182</v>
      </c>
      <c r="J86" s="132">
        <f>'RAW DATA'!K103/'RAW DATA'!J103</f>
        <v>2.8097611040118881E-3</v>
      </c>
      <c r="K86" s="132">
        <f>LN('RAW DATA'!O103)</f>
        <v>3.1780538303479458</v>
      </c>
      <c r="L86" s="133">
        <f>'RAW DATA'!M103/'RAW DATA'!E103</f>
        <v>4.5933864807699964E-3</v>
      </c>
    </row>
    <row r="87" spans="1:12" ht="22.5" customHeight="1" x14ac:dyDescent="0.2">
      <c r="A87" s="48" t="s">
        <v>32</v>
      </c>
      <c r="B87" s="37">
        <v>2020</v>
      </c>
      <c r="C87" s="132">
        <f>'RAW DATA'!G105/'RAW DATA'!H105</f>
        <v>0.64003347200544336</v>
      </c>
      <c r="D87" s="132">
        <f>'RAW DATA'!G105/'RAW DATA'!E105</f>
        <v>0.39025634716028473</v>
      </c>
      <c r="E87" s="132">
        <f>'RAW DATA'!L105/'RAW DATA'!H105</f>
        <v>3.2995488653993162E-2</v>
      </c>
      <c r="F87" s="132">
        <f>'RAW DATA'!D105/'RAW DATA'!E105</f>
        <v>0.15836628391020707</v>
      </c>
      <c r="G87" s="132">
        <f>'RAW DATA'!C105/'RAW DATA'!F105</f>
        <v>3.5522725293933117</v>
      </c>
      <c r="H87" s="132">
        <f>('RAW DATA'!I105-'RAW DATA'!I104)/'RAW DATA'!I104</f>
        <v>-0.18582420768186758</v>
      </c>
      <c r="I87" s="133">
        <f>LN('RAW DATA'!E105)</f>
        <v>28.177616318150527</v>
      </c>
      <c r="J87" s="132">
        <f>'RAW DATA'!K105/'RAW DATA'!J105</f>
        <v>1.1304824686734815E-2</v>
      </c>
      <c r="K87" s="132">
        <f>LN('RAW DATA'!O105)</f>
        <v>2.5649493574615367</v>
      </c>
      <c r="L87" s="133">
        <f>'RAW DATA'!M105/'RAW DATA'!E105</f>
        <v>2.585864669577853E-3</v>
      </c>
    </row>
    <row r="88" spans="1:12" ht="22.5" customHeight="1" x14ac:dyDescent="0.2">
      <c r="A88" s="48" t="s">
        <v>32</v>
      </c>
      <c r="B88" s="42">
        <v>2021</v>
      </c>
      <c r="C88" s="132">
        <f>'RAW DATA'!G106/'RAW DATA'!H106</f>
        <v>0.59194404103491371</v>
      </c>
      <c r="D88" s="132">
        <f>'RAW DATA'!G106/'RAW DATA'!E106</f>
        <v>0.371837216495433</v>
      </c>
      <c r="E88" s="132">
        <f>'RAW DATA'!L106/'RAW DATA'!H106</f>
        <v>4.4793248512160683E-2</v>
      </c>
      <c r="F88" s="132">
        <f>'RAW DATA'!D106/'RAW DATA'!E106</f>
        <v>0.21669806064760325</v>
      </c>
      <c r="G88" s="132">
        <f>'RAW DATA'!C106/'RAW DATA'!F106</f>
        <v>2.9715584259487469</v>
      </c>
      <c r="H88" s="132">
        <f>('RAW DATA'!I106-'RAW DATA'!I105)/'RAW DATA'!I105</f>
        <v>0.37971961276020544</v>
      </c>
      <c r="I88" s="133">
        <f>LN('RAW DATA'!E106)</f>
        <v>28.196648206837654</v>
      </c>
      <c r="J88" s="132">
        <f>'RAW DATA'!K106/'RAW DATA'!J106</f>
        <v>0.15813060629853157</v>
      </c>
      <c r="K88" s="132">
        <f>LN('RAW DATA'!O106)</f>
        <v>2.6390573296152584</v>
      </c>
      <c r="L88" s="133">
        <f>'RAW DATA'!M106/'RAW DATA'!E106</f>
        <v>2.5270454933542614E-3</v>
      </c>
    </row>
    <row r="89" spans="1:12" ht="22.5" customHeight="1" x14ac:dyDescent="0.2">
      <c r="A89" s="48" t="s">
        <v>32</v>
      </c>
      <c r="B89" s="42">
        <v>2022</v>
      </c>
      <c r="C89" s="132">
        <f>'RAW DATA'!G107/'RAW DATA'!H107</f>
        <v>0.51154704949690022</v>
      </c>
      <c r="D89" s="132">
        <f>'RAW DATA'!G107/'RAW DATA'!E107</f>
        <v>0.33842615065615217</v>
      </c>
      <c r="E89" s="132">
        <f>'RAW DATA'!L107/'RAW DATA'!H107</f>
        <v>6.4791129597114236E-2</v>
      </c>
      <c r="F89" s="132">
        <f>'RAW DATA'!D107/'RAW DATA'!E107</f>
        <v>0.20596378509639712</v>
      </c>
      <c r="G89" s="132">
        <f>'RAW DATA'!C107/'RAW DATA'!F107</f>
        <v>2.9558882649945857</v>
      </c>
      <c r="H89" s="132">
        <f>('RAW DATA'!I107-'RAW DATA'!I106)/'RAW DATA'!I106</f>
        <v>-0.17095224792929276</v>
      </c>
      <c r="I89" s="133">
        <f>LN('RAW DATA'!E107)</f>
        <v>28.208395788242132</v>
      </c>
      <c r="J89" s="132">
        <f>'RAW DATA'!K107/'RAW DATA'!J107</f>
        <v>0.1129273787630551</v>
      </c>
      <c r="K89" s="132">
        <f>LN('RAW DATA'!O107)</f>
        <v>2.7080502011022101</v>
      </c>
      <c r="L89" s="133">
        <f>'RAW DATA'!M107/'RAW DATA'!E107</f>
        <v>2.6206449527018741E-3</v>
      </c>
    </row>
    <row r="90" spans="1:12" ht="22.5" customHeight="1" x14ac:dyDescent="0.2">
      <c r="A90" s="48" t="s">
        <v>32</v>
      </c>
      <c r="B90" s="42">
        <v>2023</v>
      </c>
      <c r="C90" s="132">
        <f>'RAW DATA'!G108/'RAW DATA'!H108</f>
        <v>0.54075570300175568</v>
      </c>
      <c r="D90" s="132">
        <f>'RAW DATA'!G108/'RAW DATA'!E108</f>
        <v>0.3509678412666174</v>
      </c>
      <c r="E90" s="132">
        <f>'RAW DATA'!L108/'RAW DATA'!H108</f>
        <v>7.6065669403230202E-2</v>
      </c>
      <c r="F90" s="132">
        <f>'RAW DATA'!D108/'RAW DATA'!E108</f>
        <v>0.21161751691340774</v>
      </c>
      <c r="G90" s="132">
        <f>'RAW DATA'!C108/'RAW DATA'!F108</f>
        <v>3.5535767125510596</v>
      </c>
      <c r="H90" s="132">
        <f>('RAW DATA'!I108-'RAW DATA'!I107)/'RAW DATA'!I107</f>
        <v>0.24071106088230917</v>
      </c>
      <c r="I90" s="133">
        <f>LN('RAW DATA'!E108)</f>
        <v>28.301018095488917</v>
      </c>
      <c r="J90" s="132">
        <f>'RAW DATA'!K108/'RAW DATA'!J108</f>
        <v>0.11375530484633803</v>
      </c>
      <c r="K90" s="132">
        <f>LN('RAW DATA'!O108)</f>
        <v>2.7725887222397811</v>
      </c>
      <c r="L90" s="133">
        <f>'RAW DATA'!M108/'RAW DATA'!E108</f>
        <v>2.5828712042681996E-3</v>
      </c>
    </row>
    <row r="91" spans="1:12" ht="22.5" customHeight="1" x14ac:dyDescent="0.2">
      <c r="A91" s="49" t="s">
        <v>32</v>
      </c>
      <c r="B91" s="44">
        <v>2024</v>
      </c>
      <c r="C91" s="132">
        <f>'RAW DATA'!G109/'RAW DATA'!H109</f>
        <v>0.44218272877373915</v>
      </c>
      <c r="D91" s="132">
        <f>'RAW DATA'!G109/'RAW DATA'!E109</f>
        <v>0.30660659010229502</v>
      </c>
      <c r="E91" s="132">
        <f>'RAW DATA'!L109/'RAW DATA'!H109</f>
        <v>9.056437165923549E-2</v>
      </c>
      <c r="F91" s="132">
        <f>'RAW DATA'!D109/'RAW DATA'!E109</f>
        <v>0.22659559719564212</v>
      </c>
      <c r="G91" s="132">
        <f>'RAW DATA'!C109/'RAW DATA'!F109</f>
        <v>4.2585353209212986</v>
      </c>
      <c r="H91" s="132">
        <f>('RAW DATA'!I109-'RAW DATA'!I108)/'RAW DATA'!I108</f>
        <v>0.12520100370702339</v>
      </c>
      <c r="I91" s="133">
        <f>LN('RAW DATA'!E109)</f>
        <v>28.310422021254642</v>
      </c>
      <c r="J91" s="132">
        <f>'RAW DATA'!K109/'RAW DATA'!J109</f>
        <v>9.8802089898252801E-2</v>
      </c>
      <c r="K91" s="132">
        <f>LN('RAW DATA'!O109)</f>
        <v>2.8332133440562162</v>
      </c>
      <c r="L91" s="133">
        <f>'RAW DATA'!M109/'RAW DATA'!E109</f>
        <v>2.60502494237711E-3</v>
      </c>
    </row>
    <row r="92" spans="1:12" ht="22.5" customHeight="1" x14ac:dyDescent="0.2">
      <c r="A92" s="48" t="s">
        <v>33</v>
      </c>
      <c r="B92" s="37">
        <v>2020</v>
      </c>
      <c r="C92" s="132">
        <f>'RAW DATA'!G111/'RAW DATA'!H111</f>
        <v>0.32658546451727</v>
      </c>
      <c r="D92" s="132">
        <f>'RAW DATA'!G111/'RAW DATA'!E111</f>
        <v>0.24618501653499639</v>
      </c>
      <c r="E92" s="132">
        <f>'RAW DATA'!L111/'RAW DATA'!H111</f>
        <v>-8.3771850466342418E-2</v>
      </c>
      <c r="F92" s="132">
        <f>'RAW DATA'!D111/'RAW DATA'!E111</f>
        <v>0.90128408836753293</v>
      </c>
      <c r="G92" s="132">
        <f>'RAW DATA'!C111/'RAW DATA'!F111</f>
        <v>3.7113693265154732</v>
      </c>
      <c r="H92" s="132">
        <f>('RAW DATA'!I111-'RAW DATA'!I110)/'RAW DATA'!I110</f>
        <v>-0.55893608769106706</v>
      </c>
      <c r="I92" s="133">
        <f>LN('RAW DATA'!E111)</f>
        <v>29.666655254359497</v>
      </c>
      <c r="J92" s="132">
        <f>'RAW DATA'!K111/'RAW DATA'!J111</f>
        <v>3.8399501401005509E-2</v>
      </c>
      <c r="K92" s="132">
        <f>LN('RAW DATA'!O111)</f>
        <v>2.7725887222397811</v>
      </c>
      <c r="L92" s="133">
        <f>'RAW DATA'!M111/'RAW DATA'!E111</f>
        <v>8.2623828650753156E-3</v>
      </c>
    </row>
    <row r="93" spans="1:12" ht="22.5" customHeight="1" x14ac:dyDescent="0.2">
      <c r="A93" s="48" t="s">
        <v>33</v>
      </c>
      <c r="B93" s="42">
        <v>2021</v>
      </c>
      <c r="C93" s="132">
        <f>'RAW DATA'!G112/'RAW DATA'!H112</f>
        <v>0.57479707687028769</v>
      </c>
      <c r="D93" s="132">
        <f>'RAW DATA'!G112/'RAW DATA'!E112</f>
        <v>0.36499755131157918</v>
      </c>
      <c r="E93" s="132">
        <f>'RAW DATA'!L112/'RAW DATA'!H112</f>
        <v>-7.3826260685104592E-3</v>
      </c>
      <c r="F93" s="132">
        <f>'RAW DATA'!D112/'RAW DATA'!E112</f>
        <v>0.79386464334867346</v>
      </c>
      <c r="G93" s="132">
        <f>'RAW DATA'!C112/'RAW DATA'!F112</f>
        <v>2.4611020375663801</v>
      </c>
      <c r="H93" s="132">
        <f>('RAW DATA'!I112-'RAW DATA'!I111)/'RAW DATA'!I111</f>
        <v>7.7137665218151366E-2</v>
      </c>
      <c r="I93" s="133">
        <f>LN('RAW DATA'!E112)</f>
        <v>29.825007434181593</v>
      </c>
      <c r="J93" s="132">
        <f>'RAW DATA'!K112/'RAW DATA'!J112</f>
        <v>4.3753490214468085E-3</v>
      </c>
      <c r="K93" s="132">
        <f>LN('RAW DATA'!O112)</f>
        <v>2.8332133440562162</v>
      </c>
      <c r="L93" s="133">
        <f>'RAW DATA'!M112/'RAW DATA'!E112</f>
        <v>6.3928577844907051E-3</v>
      </c>
    </row>
    <row r="94" spans="1:12" ht="22.5" customHeight="1" x14ac:dyDescent="0.2">
      <c r="A94" s="48" t="s">
        <v>33</v>
      </c>
      <c r="B94" s="42">
        <v>2022</v>
      </c>
      <c r="C94" s="132">
        <f>'RAW DATA'!G113/'RAW DATA'!H113</f>
        <v>0.596515131532109</v>
      </c>
      <c r="D94" s="132">
        <f>'RAW DATA'!G113/'RAW DATA'!E113</f>
        <v>0.37363575186391018</v>
      </c>
      <c r="E94" s="132">
        <f>'RAW DATA'!L113/'RAW DATA'!H113</f>
        <v>1.2106891151191434E-2</v>
      </c>
      <c r="F94" s="132">
        <f>'RAW DATA'!D113/'RAW DATA'!E113</f>
        <v>0.7733090783844343</v>
      </c>
      <c r="G94" s="132">
        <f>'RAW DATA'!C113/'RAW DATA'!F113</f>
        <v>3.1330315247805092</v>
      </c>
      <c r="H94" s="132">
        <f>('RAW DATA'!I113-'RAW DATA'!I112)/'RAW DATA'!I112</f>
        <v>1.2342585292324981</v>
      </c>
      <c r="I94" s="133">
        <f>LN('RAW DATA'!E113)</f>
        <v>29.846284366894444</v>
      </c>
      <c r="J94" s="132">
        <f>'RAW DATA'!K113/'RAW DATA'!J113</f>
        <v>0.20663658268125917</v>
      </c>
      <c r="K94" s="132">
        <f>LN('RAW DATA'!O113)</f>
        <v>2.8903717578961645</v>
      </c>
      <c r="L94" s="133">
        <f>'RAW DATA'!M113/'RAW DATA'!E113</f>
        <v>6.5581826899345991E-3</v>
      </c>
    </row>
    <row r="95" spans="1:12" ht="22.5" customHeight="1" x14ac:dyDescent="0.2">
      <c r="A95" s="48" t="s">
        <v>33</v>
      </c>
      <c r="B95" s="42">
        <v>2023</v>
      </c>
      <c r="C95" s="132">
        <f>'RAW DATA'!G114/'RAW DATA'!H114</f>
        <v>0.57637074724958415</v>
      </c>
      <c r="D95" s="132">
        <f>'RAW DATA'!G114/'RAW DATA'!E114</f>
        <v>0.365631465983001</v>
      </c>
      <c r="E95" s="132">
        <f>'RAW DATA'!L114/'RAW DATA'!H114</f>
        <v>3.118867663416211E-2</v>
      </c>
      <c r="F95" s="132">
        <f>'RAW DATA'!D114/'RAW DATA'!E114</f>
        <v>0.78414835118296811</v>
      </c>
      <c r="G95" s="132">
        <f>'RAW DATA'!C114/'RAW DATA'!F114</f>
        <v>1.9149746989101719</v>
      </c>
      <c r="H95" s="132">
        <f>('RAW DATA'!I114-'RAW DATA'!I113)/'RAW DATA'!I113</f>
        <v>0.15611020086802754</v>
      </c>
      <c r="I95" s="133">
        <f>LN('RAW DATA'!E114)</f>
        <v>29.865889378891236</v>
      </c>
      <c r="J95" s="132">
        <f>'RAW DATA'!K114/'RAW DATA'!J114</f>
        <v>0.1731399539885074</v>
      </c>
      <c r="K95" s="132">
        <f>LN('RAW DATA'!O114)</f>
        <v>2.9444389791664403</v>
      </c>
      <c r="L95" s="133">
        <f>'RAW DATA'!M114/'RAW DATA'!E114</f>
        <v>6.7210153783575843E-3</v>
      </c>
    </row>
    <row r="96" spans="1:12" ht="22.5" customHeight="1" x14ac:dyDescent="0.2">
      <c r="A96" s="49" t="s">
        <v>33</v>
      </c>
      <c r="B96" s="44">
        <v>2024</v>
      </c>
      <c r="C96" s="132">
        <f>'RAW DATA'!G115/'RAW DATA'!H115</f>
        <v>0.54319831530584417</v>
      </c>
      <c r="D96" s="132">
        <f>'RAW DATA'!G115/'RAW DATA'!E115</f>
        <v>0.35199514535381576</v>
      </c>
      <c r="E96" s="132">
        <f>'RAW DATA'!L115/'RAW DATA'!H115</f>
        <v>6.6409669459887216E-2</v>
      </c>
      <c r="F96" s="132">
        <f>'RAW DATA'!D115/'RAW DATA'!E115</f>
        <v>0.84439078999064388</v>
      </c>
      <c r="G96" s="132">
        <f>'RAW DATA'!C115/'RAW DATA'!F115</f>
        <v>1.9418532390576528</v>
      </c>
      <c r="H96" s="132">
        <f>('RAW DATA'!I115-'RAW DATA'!I114)/'RAW DATA'!I114</f>
        <v>0.18552451545273907</v>
      </c>
      <c r="I96" s="133">
        <f>LN('RAW DATA'!E115)</f>
        <v>29.904683036764155</v>
      </c>
      <c r="J96" s="132">
        <f>'RAW DATA'!K115/'RAW DATA'!J115</f>
        <v>0.16556854601504939</v>
      </c>
      <c r="K96" s="132">
        <f>LN('RAW DATA'!O115)</f>
        <v>2.9957322735539909</v>
      </c>
      <c r="L96" s="133">
        <f>'RAW DATA'!M115/'RAW DATA'!E115</f>
        <v>7.9122724846539937E-3</v>
      </c>
    </row>
    <row r="97" spans="1:12" ht="22.5" customHeight="1" x14ac:dyDescent="0.2">
      <c r="A97" s="48" t="s">
        <v>34</v>
      </c>
      <c r="B97" s="37">
        <v>2020</v>
      </c>
      <c r="C97" s="132">
        <f>'RAW DATA'!G117/'RAW DATA'!H117</f>
        <v>0.45795533185463266</v>
      </c>
      <c r="D97" s="132">
        <f>'RAW DATA'!G117/'RAW DATA'!E117</f>
        <v>0.31410793036579371</v>
      </c>
      <c r="E97" s="132">
        <f>'RAW DATA'!L117/'RAW DATA'!H117</f>
        <v>0.12868664051240808</v>
      </c>
      <c r="F97" s="132">
        <f>'RAW DATA'!D117/'RAW DATA'!E117</f>
        <v>0.64861456484007129</v>
      </c>
      <c r="G97" s="132">
        <f>'RAW DATA'!C117/'RAW DATA'!F117</f>
        <v>1.2433515130586363</v>
      </c>
      <c r="H97" s="132">
        <f>('RAW DATA'!I117-'RAW DATA'!I116)/'RAW DATA'!I116</f>
        <v>-9.834964320867734E-2</v>
      </c>
      <c r="I97" s="133">
        <f>LN('RAW DATA'!E117)</f>
        <v>30.071760012413538</v>
      </c>
      <c r="J97" s="132">
        <f>'RAW DATA'!K117/'RAW DATA'!J117</f>
        <v>1.0739965775948882E-2</v>
      </c>
      <c r="K97" s="132">
        <f>LN('RAW DATA'!O117)</f>
        <v>3.2580965380214821</v>
      </c>
      <c r="L97" s="133">
        <f>'RAW DATA'!M117/'RAW DATA'!E117</f>
        <v>8.4329130056268729E-4</v>
      </c>
    </row>
    <row r="98" spans="1:12" ht="22.5" customHeight="1" x14ac:dyDescent="0.2">
      <c r="A98" s="48" t="s">
        <v>34</v>
      </c>
      <c r="B98" s="42">
        <v>2021</v>
      </c>
      <c r="C98" s="132">
        <f>'RAW DATA'!G118/'RAW DATA'!H118</f>
        <v>0.44081994341641129</v>
      </c>
      <c r="D98" s="132">
        <f>'RAW DATA'!G118/'RAW DATA'!E118</f>
        <v>0.30595075077261746</v>
      </c>
      <c r="E98" s="132">
        <f>'RAW DATA'!L118/'RAW DATA'!H118</f>
        <v>9.6485928848891442E-2</v>
      </c>
      <c r="F98" s="132">
        <f>'RAW DATA'!D118/'RAW DATA'!E118</f>
        <v>0.71289397889270723</v>
      </c>
      <c r="G98" s="132">
        <f>'RAW DATA'!C118/'RAW DATA'!F118</f>
        <v>1.027337594561774</v>
      </c>
      <c r="H98" s="132">
        <f>('RAW DATA'!I118-'RAW DATA'!I117)/'RAW DATA'!I117</f>
        <v>-4.8509004211153457E-3</v>
      </c>
      <c r="I98" s="133">
        <f>LN('RAW DATA'!E118)</f>
        <v>30.094716712944685</v>
      </c>
      <c r="J98" s="132">
        <f>'RAW DATA'!K118/'RAW DATA'!J118</f>
        <v>8.7127088919344078E-2</v>
      </c>
      <c r="K98" s="132">
        <f>LN('RAW DATA'!O118)</f>
        <v>3.2958368660043291</v>
      </c>
      <c r="L98" s="133">
        <f>'RAW DATA'!M118/'RAW DATA'!E118</f>
        <v>9.12214516826619E-4</v>
      </c>
    </row>
    <row r="99" spans="1:12" ht="22.5" customHeight="1" x14ac:dyDescent="0.2">
      <c r="A99" s="48" t="s">
        <v>34</v>
      </c>
      <c r="B99" s="42">
        <v>2022</v>
      </c>
      <c r="C99" s="132">
        <f>'RAW DATA'!G119/'RAW DATA'!H119</f>
        <v>0.41933916525976656</v>
      </c>
      <c r="D99" s="132">
        <f>'RAW DATA'!G119/'RAW DATA'!E119</f>
        <v>0.29544676531420833</v>
      </c>
      <c r="E99" s="132">
        <f>'RAW DATA'!L119/'RAW DATA'!H119</f>
        <v>0.1019193974786097</v>
      </c>
      <c r="F99" s="132">
        <f>'RAW DATA'!D119/'RAW DATA'!E119</f>
        <v>0.72081920261434229</v>
      </c>
      <c r="G99" s="132">
        <f>'RAW DATA'!C119/'RAW DATA'!F119</f>
        <v>1.0089426626778852</v>
      </c>
      <c r="H99" s="132">
        <f>('RAW DATA'!I119-'RAW DATA'!I118)/'RAW DATA'!I118</f>
        <v>3.8922744964277833E-2</v>
      </c>
      <c r="I99" s="133">
        <f>LN('RAW DATA'!E119)</f>
        <v>30.136694021710678</v>
      </c>
      <c r="J99" s="132">
        <f>'RAW DATA'!K119/'RAW DATA'!J119</f>
        <v>8.3756005149630955E-2</v>
      </c>
      <c r="K99" s="132">
        <f>LN('RAW DATA'!O119)</f>
        <v>3.3322045101752038</v>
      </c>
      <c r="L99" s="133">
        <f>'RAW DATA'!M119/'RAW DATA'!E119</f>
        <v>8.6311966963549557E-4</v>
      </c>
    </row>
    <row r="100" spans="1:12" ht="22.5" customHeight="1" x14ac:dyDescent="0.2">
      <c r="A100" s="48" t="s">
        <v>34</v>
      </c>
      <c r="B100" s="42">
        <v>2023</v>
      </c>
      <c r="C100" s="132">
        <f>'RAW DATA'!G120/'RAW DATA'!H120</f>
        <v>0.42456406275749264</v>
      </c>
      <c r="D100" s="132">
        <f>'RAW DATA'!G120/'RAW DATA'!E120</f>
        <v>0.29803086702585685</v>
      </c>
      <c r="E100" s="132">
        <f>'RAW DATA'!L120/'RAW DATA'!H120</f>
        <v>0.1104903201162675</v>
      </c>
      <c r="F100" s="132">
        <f>'RAW DATA'!D120/'RAW DATA'!E120</f>
        <v>0.75523101402960768</v>
      </c>
      <c r="G100" s="132">
        <f>'RAW DATA'!C120/'RAW DATA'!F120</f>
        <v>0.87471680851667188</v>
      </c>
      <c r="H100" s="132">
        <f>('RAW DATA'!I120-'RAW DATA'!I119)/'RAW DATA'!I119</f>
        <v>0.10831061900677982</v>
      </c>
      <c r="I100" s="133">
        <f>LN('RAW DATA'!E120)</f>
        <v>30.211760414086157</v>
      </c>
      <c r="J100" s="132">
        <f>'RAW DATA'!K120/'RAW DATA'!J120</f>
        <v>8.4564628173775747E-2</v>
      </c>
      <c r="K100" s="132">
        <f>LN('RAW DATA'!O120)</f>
        <v>3.3672958299864741</v>
      </c>
      <c r="L100" s="133">
        <f>'RAW DATA'!M120/'RAW DATA'!E120</f>
        <v>9.3185777912201942E-4</v>
      </c>
    </row>
    <row r="101" spans="1:12" ht="22.5" customHeight="1" x14ac:dyDescent="0.2">
      <c r="A101" s="49" t="s">
        <v>34</v>
      </c>
      <c r="B101" s="44">
        <v>2024</v>
      </c>
      <c r="C101" s="132">
        <f>'RAW DATA'!G121/'RAW DATA'!H121</f>
        <v>0.39358886102959656</v>
      </c>
      <c r="D101" s="132">
        <f>'RAW DATA'!G121/'RAW DATA'!E121</f>
        <v>0.28242824841381797</v>
      </c>
      <c r="E101" s="132">
        <f>'RAW DATA'!L121/'RAW DATA'!H121</f>
        <v>0.11377373111861291</v>
      </c>
      <c r="F101" s="132">
        <f>'RAW DATA'!D121/'RAW DATA'!E121</f>
        <v>0.72070324887397186</v>
      </c>
      <c r="G101" s="132">
        <f>'RAW DATA'!C121/'RAW DATA'!F121</f>
        <v>1.0555768035671909</v>
      </c>
      <c r="H101" s="132">
        <f>('RAW DATA'!I121-'RAW DATA'!I120)/'RAW DATA'!I120</f>
        <v>0.1775143034025165</v>
      </c>
      <c r="I101" s="133">
        <f>LN('RAW DATA'!E121)</f>
        <v>30.277381546790931</v>
      </c>
      <c r="J101" s="132">
        <f>'RAW DATA'!K121/'RAW DATA'!J121</f>
        <v>0.10376495222336109</v>
      </c>
      <c r="K101" s="132">
        <f>LN('RAW DATA'!O121)</f>
        <v>3.4011973816621555</v>
      </c>
      <c r="L101" s="133">
        <f>'RAW DATA'!M121/'RAW DATA'!E121</f>
        <v>2.326566014631748E-3</v>
      </c>
    </row>
    <row r="102" spans="1:12" ht="22.5" customHeight="1" x14ac:dyDescent="0.2">
      <c r="A102" s="48" t="s">
        <v>35</v>
      </c>
      <c r="B102" s="37">
        <v>2020</v>
      </c>
      <c r="C102" s="132">
        <f>'RAW DATA'!G123/'RAW DATA'!H123</f>
        <v>0.94883066864886789</v>
      </c>
      <c r="D102" s="132">
        <f>'RAW DATA'!G123/'RAW DATA'!E123</f>
        <v>0.48687178620125882</v>
      </c>
      <c r="E102" s="132">
        <f>'RAW DATA'!L123/'RAW DATA'!H123</f>
        <v>7.2281204339177422E-3</v>
      </c>
      <c r="F102" s="132">
        <f>'RAW DATA'!D123/'RAW DATA'!E123</f>
        <v>0.30167184815921133</v>
      </c>
      <c r="G102" s="132">
        <f>'RAW DATA'!C123/'RAW DATA'!F123</f>
        <v>6.1792614139145492</v>
      </c>
      <c r="H102" s="132">
        <f>('RAW DATA'!I123-'RAW DATA'!I122)/'RAW DATA'!I122</f>
        <v>6.3063532094512625E-2</v>
      </c>
      <c r="I102" s="133">
        <f>LN('RAW DATA'!E123)</f>
        <v>30.132471492143235</v>
      </c>
      <c r="J102" s="132">
        <f>'RAW DATA'!K123/'RAW DATA'!J123</f>
        <v>3.7386857586942546E-2</v>
      </c>
      <c r="K102" s="132">
        <f>LN('RAW DATA'!O123)</f>
        <v>3.2188758248682006</v>
      </c>
      <c r="L102" s="133">
        <f>'RAW DATA'!M123/'RAW DATA'!E123</f>
        <v>1.363006666660983E-2</v>
      </c>
    </row>
    <row r="103" spans="1:12" ht="22.5" customHeight="1" x14ac:dyDescent="0.2">
      <c r="A103" s="48" t="s">
        <v>35</v>
      </c>
      <c r="B103" s="42">
        <v>2021</v>
      </c>
      <c r="C103" s="132">
        <f>'RAW DATA'!G124/'RAW DATA'!H124</f>
        <v>0.92907569419677682</v>
      </c>
      <c r="D103" s="132">
        <f>'RAW DATA'!G124/'RAW DATA'!E124</f>
        <v>0.48161702363038833</v>
      </c>
      <c r="E103" s="132">
        <f>'RAW DATA'!L124/'RAW DATA'!H124</f>
        <v>1.3753257193789723E-2</v>
      </c>
      <c r="F103" s="132">
        <f>'RAW DATA'!D124/'RAW DATA'!E124</f>
        <v>0.29719775190077641</v>
      </c>
      <c r="G103" s="132">
        <f>'RAW DATA'!C124/'RAW DATA'!F124</f>
        <v>6.5438877781816069</v>
      </c>
      <c r="H103" s="132">
        <f>('RAW DATA'!I124-'RAW DATA'!I123)/'RAW DATA'!I123</f>
        <v>3.9301675022739277E-2</v>
      </c>
      <c r="I103" s="133">
        <f>LN('RAW DATA'!E124)</f>
        <v>30.139977108853969</v>
      </c>
      <c r="J103" s="132">
        <f>'RAW DATA'!K124/'RAW DATA'!J124</f>
        <v>2.5853718825669312E-2</v>
      </c>
      <c r="K103" s="132">
        <f>LN('RAW DATA'!O124)</f>
        <v>3.2580965380214821</v>
      </c>
      <c r="L103" s="133">
        <f>'RAW DATA'!M124/'RAW DATA'!E124</f>
        <v>1.1863792281673832E-2</v>
      </c>
    </row>
    <row r="104" spans="1:12" ht="22.5" customHeight="1" x14ac:dyDescent="0.2">
      <c r="A104" s="48" t="s">
        <v>35</v>
      </c>
      <c r="B104" s="42">
        <v>2022</v>
      </c>
      <c r="C104" s="132">
        <f>'RAW DATA'!G125/'RAW DATA'!H125</f>
        <v>1.0153270572229611</v>
      </c>
      <c r="D104" s="132">
        <f>'RAW DATA'!G125/'RAW DATA'!E125</f>
        <v>0.50380262279713572</v>
      </c>
      <c r="E104" s="132">
        <f>'RAW DATA'!L125/'RAW DATA'!H125</f>
        <v>6.2995344006823075E-3</v>
      </c>
      <c r="F104" s="132">
        <f>'RAW DATA'!D125/'RAW DATA'!E125</f>
        <v>0.31620213516916995</v>
      </c>
      <c r="G104" s="132">
        <f>'RAW DATA'!C125/'RAW DATA'!F125</f>
        <v>4.5152812048546567</v>
      </c>
      <c r="H104" s="132">
        <f>('RAW DATA'!I125-'RAW DATA'!I124)/'RAW DATA'!I124</f>
        <v>0.10317381335979876</v>
      </c>
      <c r="I104" s="133">
        <f>LN('RAW DATA'!E125)</f>
        <v>30.204431453792001</v>
      </c>
      <c r="J104" s="132">
        <f>'RAW DATA'!K125/'RAW DATA'!J125</f>
        <v>0.11106443270228553</v>
      </c>
      <c r="K104" s="132">
        <f>LN('RAW DATA'!O125)</f>
        <v>3.2958368660043291</v>
      </c>
      <c r="L104" s="133">
        <f>'RAW DATA'!M125/'RAW DATA'!E125</f>
        <v>1.1446012785845979E-2</v>
      </c>
    </row>
    <row r="105" spans="1:12" ht="22.5" customHeight="1" x14ac:dyDescent="0.2">
      <c r="A105" s="48" t="s">
        <v>35</v>
      </c>
      <c r="B105" s="42">
        <v>2023</v>
      </c>
      <c r="C105" s="132">
        <f>'RAW DATA'!G126/'RAW DATA'!H126</f>
        <v>0.86794555809304719</v>
      </c>
      <c r="D105" s="132">
        <f>'RAW DATA'!G126/'RAW DATA'!E126</f>
        <v>0.46465249178842105</v>
      </c>
      <c r="E105" s="132">
        <f>'RAW DATA'!L126/'RAW DATA'!H126</f>
        <v>7.6265265046954744E-2</v>
      </c>
      <c r="F105" s="132">
        <f>'RAW DATA'!D126/'RAW DATA'!E126</f>
        <v>0.31723430440427164</v>
      </c>
      <c r="G105" s="132">
        <f>'RAW DATA'!C126/'RAW DATA'!F126</f>
        <v>5.7460509462058358</v>
      </c>
      <c r="H105" s="132">
        <f>('RAW DATA'!I126-'RAW DATA'!I125)/'RAW DATA'!I125</f>
        <v>0.20108273410135058</v>
      </c>
      <c r="I105" s="133">
        <f>LN('RAW DATA'!E126)</f>
        <v>30.191918839691375</v>
      </c>
      <c r="J105" s="132">
        <f>'RAW DATA'!K126/'RAW DATA'!J126</f>
        <v>9.8201154579979674E-2</v>
      </c>
      <c r="K105" s="132">
        <f>LN('RAW DATA'!O126)</f>
        <v>3.3322045101752038</v>
      </c>
      <c r="L105" s="133">
        <f>'RAW DATA'!M126/'RAW DATA'!E126</f>
        <v>1.295178508626197E-2</v>
      </c>
    </row>
    <row r="106" spans="1:12" ht="22.5" customHeight="1" x14ac:dyDescent="0.2">
      <c r="A106" s="49" t="s">
        <v>35</v>
      </c>
      <c r="B106" s="44">
        <v>2024</v>
      </c>
      <c r="C106" s="132">
        <f>'RAW DATA'!G127/'RAW DATA'!H127</f>
        <v>0.85932298061920231</v>
      </c>
      <c r="D106" s="132">
        <f>'RAW DATA'!G127/'RAW DATA'!E127</f>
        <v>0.46216982717710814</v>
      </c>
      <c r="E106" s="132">
        <f>'RAW DATA'!L127/'RAW DATA'!H127</f>
        <v>0.10214383766879158</v>
      </c>
      <c r="F106" s="132">
        <f>'RAW DATA'!D127/'RAW DATA'!E127</f>
        <v>0.24662382834537411</v>
      </c>
      <c r="G106" s="132">
        <f>'RAW DATA'!C127/'RAW DATA'!F127</f>
        <v>5.2348243342049496</v>
      </c>
      <c r="H106" s="132">
        <f>('RAW DATA'!I127-'RAW DATA'!I126)/'RAW DATA'!I126</f>
        <v>0.39491216654639943</v>
      </c>
      <c r="I106" s="133">
        <f>LN('RAW DATA'!E127)</f>
        <v>30.271317392018279</v>
      </c>
      <c r="J106" s="132">
        <f>'RAW DATA'!K127/'RAW DATA'!J127</f>
        <v>7.5572823573368877E-2</v>
      </c>
      <c r="K106" s="132">
        <f>LN('RAW DATA'!O127)</f>
        <v>3.3672958299864741</v>
      </c>
      <c r="L106" s="133">
        <f>'RAW DATA'!M127/'RAW DATA'!E127</f>
        <v>1.2695903564124362E-2</v>
      </c>
    </row>
    <row r="107" spans="1:12" ht="22.5" customHeight="1" x14ac:dyDescent="0.2">
      <c r="A107" s="48" t="s">
        <v>36</v>
      </c>
      <c r="B107" s="37">
        <v>2020</v>
      </c>
      <c r="C107" s="132">
        <f>'RAW DATA'!G129/'RAW DATA'!H129</f>
        <v>0.47732644370210064</v>
      </c>
      <c r="D107" s="132">
        <f>'RAW DATA'!G129/'RAW DATA'!E129</f>
        <v>0.32310153638484007</v>
      </c>
      <c r="E107" s="132">
        <f>'RAW DATA'!L129/'RAW DATA'!H129</f>
        <v>-0.55423259071596043</v>
      </c>
      <c r="F107" s="132">
        <f>'RAW DATA'!D129/'RAW DATA'!E129</f>
        <v>0.3049188390021369</v>
      </c>
      <c r="G107" s="132">
        <f>'RAW DATA'!C129/'RAW DATA'!F129</f>
        <v>3.1304834164157511</v>
      </c>
      <c r="H107" s="132">
        <f>('RAW DATA'!I129-'RAW DATA'!I128)/'RAW DATA'!I128</f>
        <v>8.8248292285443369E-2</v>
      </c>
      <c r="I107" s="133">
        <f>LN('RAW DATA'!E129)</f>
        <v>29.905162494739209</v>
      </c>
      <c r="J107" s="132">
        <f>'RAW DATA'!K129/'RAW DATA'!J129</f>
        <v>-2.3236479612452274E-2</v>
      </c>
      <c r="K107" s="132">
        <f>LN('RAW DATA'!O129)</f>
        <v>3.1354942159291497</v>
      </c>
      <c r="L107" s="133">
        <f>'RAW DATA'!M129/'RAW DATA'!E129</f>
        <v>3.1656750247181717E-3</v>
      </c>
    </row>
    <row r="108" spans="1:12" ht="22.5" customHeight="1" x14ac:dyDescent="0.2">
      <c r="A108" s="48" t="s">
        <v>36</v>
      </c>
      <c r="B108" s="42">
        <v>2021</v>
      </c>
      <c r="C108" s="132">
        <f>'RAW DATA'!G130/'RAW DATA'!H130</f>
        <v>0.42572405011685754</v>
      </c>
      <c r="D108" s="132">
        <f>'RAW DATA'!G130/'RAW DATA'!E130</f>
        <v>0.29860199810893534</v>
      </c>
      <c r="E108" s="132">
        <f>'RAW DATA'!L130/'RAW DATA'!H130</f>
        <v>2.190887827055199E-2</v>
      </c>
      <c r="F108" s="132">
        <f>'RAW DATA'!D130/'RAW DATA'!E130</f>
        <v>0.31834114854425571</v>
      </c>
      <c r="G108" s="132">
        <f>'RAW DATA'!C130/'RAW DATA'!F130</f>
        <v>3.1660640439400187</v>
      </c>
      <c r="H108" s="132">
        <f>('RAW DATA'!I130-'RAW DATA'!I129)/'RAW DATA'!I129</f>
        <v>1.9844142155626873E-4</v>
      </c>
      <c r="I108" s="133">
        <f>LN('RAW DATA'!E130)</f>
        <v>29.843083620292312</v>
      </c>
      <c r="J108" s="132">
        <f>'RAW DATA'!K130/'RAW DATA'!J130</f>
        <v>0.11919077621473957</v>
      </c>
      <c r="K108" s="132">
        <f>LN('RAW DATA'!O130)</f>
        <v>3.1780538303479458</v>
      </c>
      <c r="L108" s="133">
        <f>'RAW DATA'!M130/'RAW DATA'!E130</f>
        <v>1.7647309327226985E-3</v>
      </c>
    </row>
    <row r="109" spans="1:12" ht="22.5" customHeight="1" x14ac:dyDescent="0.2">
      <c r="A109" s="48" t="s">
        <v>36</v>
      </c>
      <c r="B109" s="42">
        <v>2022</v>
      </c>
      <c r="C109" s="132">
        <f>'RAW DATA'!G131/'RAW DATA'!H131</f>
        <v>0.39647112822062347</v>
      </c>
      <c r="D109" s="132">
        <f>'RAW DATA'!G131/'RAW DATA'!E131</f>
        <v>0.2839092912187916</v>
      </c>
      <c r="E109" s="132">
        <f>'RAW DATA'!L131/'RAW DATA'!H131</f>
        <v>4.5228717832599047E-2</v>
      </c>
      <c r="F109" s="132">
        <f>'RAW DATA'!D131/'RAW DATA'!E131</f>
        <v>0.32173235405572403</v>
      </c>
      <c r="G109" s="132">
        <f>'RAW DATA'!C131/'RAW DATA'!F131</f>
        <v>3.3752457636049518</v>
      </c>
      <c r="H109" s="132">
        <f>('RAW DATA'!I131-'RAW DATA'!I130)/'RAW DATA'!I130</f>
        <v>-0.31278896364201114</v>
      </c>
      <c r="I109" s="133">
        <f>LN('RAW DATA'!E131)</f>
        <v>29.866356067998208</v>
      </c>
      <c r="J109" s="132">
        <f>'RAW DATA'!K131/'RAW DATA'!J131</f>
        <v>9.1370252584707365E-2</v>
      </c>
      <c r="K109" s="132">
        <f>LN('RAW DATA'!O131)</f>
        <v>3.2188758248682006</v>
      </c>
      <c r="L109" s="133">
        <f>'RAW DATA'!M131/'RAW DATA'!E131</f>
        <v>1.5087255483194866E-3</v>
      </c>
    </row>
    <row r="110" spans="1:12" ht="22.5" customHeight="1" x14ac:dyDescent="0.2">
      <c r="A110" s="48" t="s">
        <v>36</v>
      </c>
      <c r="B110" s="42">
        <v>2023</v>
      </c>
      <c r="C110" s="132">
        <f>'RAW DATA'!G132/'RAW DATA'!H132</f>
        <v>0.42560156882470374</v>
      </c>
      <c r="D110" s="132">
        <f>'RAW DATA'!G132/'RAW DATA'!E132</f>
        <v>0.29854173713878468</v>
      </c>
      <c r="E110" s="132">
        <f>'RAW DATA'!L132/'RAW DATA'!H132</f>
        <v>1.5988482956053058E-2</v>
      </c>
      <c r="F110" s="132">
        <f>'RAW DATA'!D132/'RAW DATA'!E132</f>
        <v>0.29340701166372729</v>
      </c>
      <c r="G110" s="132">
        <f>'RAW DATA'!C132/'RAW DATA'!F132</f>
        <v>3.6923224311221983</v>
      </c>
      <c r="H110" s="132">
        <f>('RAW DATA'!I132-'RAW DATA'!I131)/'RAW DATA'!I131</f>
        <v>-0.16729180224417756</v>
      </c>
      <c r="I110" s="133">
        <f>LN('RAW DATA'!E132)</f>
        <v>29.901261203820198</v>
      </c>
      <c r="J110" s="132">
        <f>'RAW DATA'!K132/'RAW DATA'!J132</f>
        <v>0.16000076000836008</v>
      </c>
      <c r="K110" s="132">
        <f>LN('RAW DATA'!O132)</f>
        <v>3.2580965380214821</v>
      </c>
      <c r="L110" s="133">
        <f>'RAW DATA'!M132/'RAW DATA'!E132</f>
        <v>1.1170530045007474E-3</v>
      </c>
    </row>
    <row r="111" spans="1:12" ht="22.5" customHeight="1" x14ac:dyDescent="0.2">
      <c r="A111" s="49" t="s">
        <v>36</v>
      </c>
      <c r="B111" s="44">
        <v>2024</v>
      </c>
      <c r="C111" s="132">
        <f>'RAW DATA'!G133/'RAW DATA'!H133</f>
        <v>1.2791263993659843</v>
      </c>
      <c r="D111" s="132">
        <f>'RAW DATA'!G133/'RAW DATA'!E133</f>
        <v>0.5612353925266349</v>
      </c>
      <c r="E111" s="132">
        <f>'RAW DATA'!L133/'RAW DATA'!H133</f>
        <v>-0.27094780306051303</v>
      </c>
      <c r="F111" s="132">
        <f>'RAW DATA'!D133/'RAW DATA'!E133</f>
        <v>0.14698491520673379</v>
      </c>
      <c r="G111" s="132">
        <f>'RAW DATA'!C133/'RAW DATA'!F133</f>
        <v>2.0259343672733094</v>
      </c>
      <c r="H111" s="132">
        <f>('RAW DATA'!I133-'RAW DATA'!I132)/'RAW DATA'!I132</f>
        <v>0.84137470456450791</v>
      </c>
      <c r="I111" s="133">
        <f>LN('RAW DATA'!E133)</f>
        <v>30.241699106033977</v>
      </c>
      <c r="J111" s="132">
        <f>'RAW DATA'!K133/'RAW DATA'!J133</f>
        <v>-2.5713153775880293E-2</v>
      </c>
      <c r="K111" s="132">
        <f>LN('RAW DATA'!O133)</f>
        <v>3.2958368660043291</v>
      </c>
      <c r="L111" s="133">
        <f>'RAW DATA'!M133/'RAW DATA'!E133</f>
        <v>8.4500062241545104E-4</v>
      </c>
    </row>
    <row r="112" spans="1:12" ht="22.5" customHeight="1" x14ac:dyDescent="0.2">
      <c r="A112" s="48" t="s">
        <v>37</v>
      </c>
      <c r="B112" s="42">
        <v>2020</v>
      </c>
      <c r="C112" s="132">
        <f>'RAW DATA'!G135/'RAW DATA'!H135</f>
        <v>1.2001458831903666</v>
      </c>
      <c r="D112" s="132">
        <f>'RAW DATA'!G135/'RAW DATA'!E135</f>
        <v>0.54548468461103605</v>
      </c>
      <c r="E112" s="132">
        <f>'RAW DATA'!L135/'RAW DATA'!H135</f>
        <v>-0.40881314331612983</v>
      </c>
      <c r="F112" s="132">
        <f>'RAW DATA'!D135/'RAW DATA'!E135</f>
        <v>0.36223033123379944</v>
      </c>
      <c r="G112" s="132">
        <f>'RAW DATA'!C135/'RAW DATA'!F135</f>
        <v>3.1283028389448773</v>
      </c>
      <c r="H112" s="132">
        <f>('RAW DATA'!I135-'RAW DATA'!I134)/'RAW DATA'!I134</f>
        <v>-2.8729048311365159E-2</v>
      </c>
      <c r="I112" s="133">
        <f>LN('RAW DATA'!E135)</f>
        <v>31.579674559565621</v>
      </c>
      <c r="J112" s="132">
        <f>'RAW DATA'!K135/'RAW DATA'!J135</f>
        <v>-6.5783857788682856E-2</v>
      </c>
      <c r="K112" s="132">
        <f>LN('RAW DATA'!O135)</f>
        <v>3.1780538303479458</v>
      </c>
      <c r="L112" s="133">
        <f>'RAW DATA'!M135/'RAW DATA'!E135</f>
        <v>3.1816190653205179E-2</v>
      </c>
    </row>
    <row r="113" spans="1:12" ht="22.5" customHeight="1" x14ac:dyDescent="0.2">
      <c r="A113" s="48" t="s">
        <v>37</v>
      </c>
      <c r="B113" s="42">
        <v>2021</v>
      </c>
      <c r="C113" s="132">
        <f>'RAW DATA'!G136/'RAW DATA'!H136</f>
        <v>1.3161484992734815</v>
      </c>
      <c r="D113" s="132">
        <f>'RAW DATA'!G136/'RAW DATA'!E136</f>
        <v>0.56824875420825771</v>
      </c>
      <c r="E113" s="132">
        <f>'RAW DATA'!L136/'RAW DATA'!H136</f>
        <v>-7.2186353745566853E-2</v>
      </c>
      <c r="F113" s="132">
        <f>'RAW DATA'!D136/'RAW DATA'!E136</f>
        <v>0.39757415266115803</v>
      </c>
      <c r="G113" s="132">
        <f>'RAW DATA'!C136/'RAW DATA'!F136</f>
        <v>3.2661888178462406</v>
      </c>
      <c r="H113" s="132">
        <f>('RAW DATA'!I136-'RAW DATA'!I135)/'RAW DATA'!I135</f>
        <v>0.38136411266340581</v>
      </c>
      <c r="I113" s="133">
        <f>LN('RAW DATA'!E136)</f>
        <v>31.583820086017592</v>
      </c>
      <c r="J113" s="132">
        <f>'RAW DATA'!K136/'RAW DATA'!J136</f>
        <v>0.35374250602300383</v>
      </c>
      <c r="K113" s="132">
        <f>LN('RAW DATA'!O136)</f>
        <v>3.2188758248682006</v>
      </c>
      <c r="L113" s="133">
        <f>'RAW DATA'!M136/'RAW DATA'!E136</f>
        <v>2.3506009953430943E-2</v>
      </c>
    </row>
    <row r="114" spans="1:12" ht="22.5" customHeight="1" x14ac:dyDescent="0.2">
      <c r="A114" s="48" t="s">
        <v>37</v>
      </c>
      <c r="B114" s="42">
        <v>2022</v>
      </c>
      <c r="C114" s="132">
        <f>'RAW DATA'!G137/'RAW DATA'!H137</f>
        <v>1.6055998438026633</v>
      </c>
      <c r="D114" s="132">
        <f>'RAW DATA'!G137/'RAW DATA'!E137</f>
        <v>0.61621121432806791</v>
      </c>
      <c r="E114" s="132">
        <f>'RAW DATA'!L137/'RAW DATA'!H137</f>
        <v>-0.12160440203133863</v>
      </c>
      <c r="F114" s="132">
        <f>'RAW DATA'!D137/'RAW DATA'!E137</f>
        <v>0.41560904749718058</v>
      </c>
      <c r="G114" s="132">
        <f>'RAW DATA'!C137/'RAW DATA'!F137</f>
        <v>3.1250510403218543</v>
      </c>
      <c r="H114" s="132">
        <f>('RAW DATA'!I137-'RAW DATA'!I136)/'RAW DATA'!I136</f>
        <v>-0.10412977373734832</v>
      </c>
      <c r="I114" s="133">
        <f>LN('RAW DATA'!E137)</f>
        <v>31.54045872209041</v>
      </c>
      <c r="J114" s="132">
        <f>'RAW DATA'!K137/'RAW DATA'!J137</f>
        <v>3.8374976782855574</v>
      </c>
      <c r="K114" s="132">
        <f>LN('RAW DATA'!O137)</f>
        <v>3.2580965380214821</v>
      </c>
      <c r="L114" s="133">
        <f>'RAW DATA'!M137/'RAW DATA'!E137</f>
        <v>2.5120703162808563E-2</v>
      </c>
    </row>
    <row r="115" spans="1:12" ht="22.5" customHeight="1" x14ac:dyDescent="0.2">
      <c r="A115" s="48" t="s">
        <v>37</v>
      </c>
      <c r="B115" s="42">
        <v>2023</v>
      </c>
      <c r="C115" s="132">
        <f>'RAW DATA'!G138/'RAW DATA'!H138</f>
        <v>1.5282941092134514</v>
      </c>
      <c r="D115" s="132">
        <f>'RAW DATA'!G138/'RAW DATA'!E138</f>
        <v>0.60447639522796714</v>
      </c>
      <c r="E115" s="132">
        <f>'RAW DATA'!L138/'RAW DATA'!H138</f>
        <v>3.3341050189093571E-2</v>
      </c>
      <c r="F115" s="132">
        <f>'RAW DATA'!D138/'RAW DATA'!E138</f>
        <v>0.3985032607083554</v>
      </c>
      <c r="G115" s="132">
        <f>'RAW DATA'!C138/'RAW DATA'!F138</f>
        <v>3.0045088760246519</v>
      </c>
      <c r="H115" s="132">
        <f>('RAW DATA'!I138-'RAW DATA'!I137)/'RAW DATA'!I137</f>
        <v>0.13753232081153008</v>
      </c>
      <c r="I115" s="133">
        <f>LN('RAW DATA'!E138)</f>
        <v>31.534423550780303</v>
      </c>
      <c r="J115" s="132">
        <f>'RAW DATA'!K138/'RAW DATA'!J138</f>
        <v>0.17220042819118811</v>
      </c>
      <c r="K115" s="132">
        <f>LN('RAW DATA'!O138)</f>
        <v>3.2958368660043291</v>
      </c>
      <c r="L115" s="133">
        <f>'RAW DATA'!M138/'RAW DATA'!E138</f>
        <v>2.3752056249861812E-2</v>
      </c>
    </row>
    <row r="116" spans="1:12" ht="22.5" customHeight="1" x14ac:dyDescent="0.2">
      <c r="A116" s="48" t="s">
        <v>37</v>
      </c>
      <c r="B116" s="44">
        <v>2024</v>
      </c>
      <c r="C116" s="132">
        <f>'RAW DATA'!G139/'RAW DATA'!H139</f>
        <v>0.73793062599886272</v>
      </c>
      <c r="D116" s="132">
        <f>'RAW DATA'!G139/'RAW DATA'!E139</f>
        <v>0.42460311041325605</v>
      </c>
      <c r="E116" s="132">
        <f>'RAW DATA'!L139/'RAW DATA'!H139</f>
        <v>0.60513404355029554</v>
      </c>
      <c r="F116" s="132">
        <f>'RAW DATA'!D139/'RAW DATA'!E139</f>
        <v>0.35815745804735066</v>
      </c>
      <c r="G116" s="132">
        <f>'RAW DATA'!C139/'RAW DATA'!F139</f>
        <v>3.1077446830576427</v>
      </c>
      <c r="H116" s="132">
        <f>('RAW DATA'!I139-'RAW DATA'!I138)/'RAW DATA'!I138</f>
        <v>-0.31700700738553417</v>
      </c>
      <c r="I116" s="133">
        <f>LN('RAW DATA'!E139)</f>
        <v>31.615994352157884</v>
      </c>
      <c r="J116" s="132">
        <f>'RAW DATA'!K139/'RAW DATA'!J139</f>
        <v>1.7931280233414015E-2</v>
      </c>
      <c r="K116" s="132">
        <f>LN('RAW DATA'!O139)</f>
        <v>3.3322045101752038</v>
      </c>
      <c r="L116" s="133">
        <f>'RAW DATA'!M139/'RAW DATA'!E139</f>
        <v>1.2811578196800712E-2</v>
      </c>
    </row>
    <row r="117" spans="1:12" ht="22.5" customHeight="1" x14ac:dyDescent="0.2">
      <c r="A117" s="53" t="s">
        <v>38</v>
      </c>
      <c r="B117" s="37">
        <v>2020</v>
      </c>
      <c r="C117" s="136">
        <f>'RAW DATA'!G141/'RAW DATA'!H141</f>
        <v>2.5187930391438798</v>
      </c>
      <c r="D117" s="136">
        <f>'RAW DATA'!G141/'RAW DATA'!E141</f>
        <v>0.7158116465288622</v>
      </c>
      <c r="E117" s="132">
        <f>'RAW DATA'!L141/'RAW DATA'!H141</f>
        <v>-4.1796043286991829</v>
      </c>
      <c r="F117" s="135">
        <f>'RAW DATA'!D141/'RAW DATA'!E141</f>
        <v>0.83917945198265242</v>
      </c>
      <c r="G117" s="132">
        <f>'RAW DATA'!C141/'RAW DATA'!F141</f>
        <v>0.25692957536979799</v>
      </c>
      <c r="H117" s="132">
        <f>('RAW DATA'!I141-'RAW DATA'!I140)/'RAW DATA'!I140</f>
        <v>-0.55928556290297216</v>
      </c>
      <c r="I117" s="133">
        <f>LN('RAW DATA'!E141)</f>
        <v>30.329023633689363</v>
      </c>
      <c r="J117" s="132">
        <f>'RAW DATA'!K141/'RAW DATA'!J141</f>
        <v>-4.0409217741671194E-2</v>
      </c>
      <c r="K117" s="136">
        <f>LN('RAW DATA'!O141)</f>
        <v>3.2958368660043291</v>
      </c>
      <c r="L117" s="137">
        <f>'RAW DATA'!M141/'RAW DATA'!E141</f>
        <v>4.6268351293350767E-3</v>
      </c>
    </row>
    <row r="118" spans="1:12" ht="22.5" customHeight="1" x14ac:dyDescent="0.2">
      <c r="A118" s="53" t="s">
        <v>38</v>
      </c>
      <c r="B118" s="42">
        <v>2021</v>
      </c>
      <c r="C118" s="136">
        <f>'RAW DATA'!G142/'RAW DATA'!H142</f>
        <v>2.4749520401892888</v>
      </c>
      <c r="D118" s="136">
        <f>'RAW DATA'!G142/'RAW DATA'!E142</f>
        <v>0.7122262441511199</v>
      </c>
      <c r="E118" s="132">
        <f>'RAW DATA'!L142/'RAW DATA'!H142</f>
        <v>-1.003659790283204E-2</v>
      </c>
      <c r="F118" s="135">
        <f>'RAW DATA'!D142/'RAW DATA'!E142</f>
        <v>0.76646802329234354</v>
      </c>
      <c r="G118" s="132">
        <f>'RAW DATA'!C142/'RAW DATA'!F142</f>
        <v>0.97873720222011784</v>
      </c>
      <c r="H118" s="132">
        <f>('RAW DATA'!I142-'RAW DATA'!I141)/'RAW DATA'!I141</f>
        <v>1.9697478328828408</v>
      </c>
      <c r="I118" s="133">
        <f>LN('RAW DATA'!E142)</f>
        <v>30.30789288469747</v>
      </c>
      <c r="J118" s="132">
        <f>'RAW DATA'!K142/'RAW DATA'!J142</f>
        <v>7.2432734653728154E-2</v>
      </c>
      <c r="K118" s="136">
        <f>LN('RAW DATA'!O142)</f>
        <v>3.3322045101752038</v>
      </c>
      <c r="L118" s="137">
        <f>'RAW DATA'!M142/'RAW DATA'!E142</f>
        <v>4.5851762850216736E-3</v>
      </c>
    </row>
    <row r="119" spans="1:12" ht="22.5" customHeight="1" x14ac:dyDescent="0.2">
      <c r="A119" s="53" t="s">
        <v>38</v>
      </c>
      <c r="B119" s="42">
        <v>2022</v>
      </c>
      <c r="C119" s="136">
        <f>'RAW DATA'!G143/'RAW DATA'!H143</f>
        <v>2.2015292715915518</v>
      </c>
      <c r="D119" s="136">
        <f>'RAW DATA'!G143/'RAW DATA'!E143</f>
        <v>0.68764927159236067</v>
      </c>
      <c r="E119" s="132">
        <f>'RAW DATA'!L143/'RAW DATA'!H143</f>
        <v>4.7735344453620557E-3</v>
      </c>
      <c r="F119" s="135">
        <f>'RAW DATA'!D143/'RAW DATA'!E143</f>
        <v>0.81847908366272915</v>
      </c>
      <c r="G119" s="132">
        <f>'RAW DATA'!C143/'RAW DATA'!F143</f>
        <v>0.8038288197896043</v>
      </c>
      <c r="H119" s="132">
        <f>('RAW DATA'!I143-'RAW DATA'!I142)/'RAW DATA'!I142</f>
        <v>-0.48689539063595727</v>
      </c>
      <c r="I119" s="133">
        <f>LN('RAW DATA'!E143)</f>
        <v>30.235795210810526</v>
      </c>
      <c r="J119" s="132">
        <f>'RAW DATA'!K143/'RAW DATA'!J143</f>
        <v>0.11403686489482633</v>
      </c>
      <c r="K119" s="136">
        <f>LN('RAW DATA'!O143)</f>
        <v>3.3672958299864741</v>
      </c>
      <c r="L119" s="137">
        <f>'RAW DATA'!M143/'RAW DATA'!E143</f>
        <v>4.6660663993423109E-3</v>
      </c>
    </row>
    <row r="120" spans="1:12" ht="22.5" customHeight="1" x14ac:dyDescent="0.2">
      <c r="A120" s="53" t="s">
        <v>38</v>
      </c>
      <c r="B120" s="42">
        <v>2023</v>
      </c>
      <c r="C120" s="136">
        <f>'RAW DATA'!G144/'RAW DATA'!H144</f>
        <v>2.32511886589654</v>
      </c>
      <c r="D120" s="136">
        <f>'RAW DATA'!G144/'RAW DATA'!E144</f>
        <v>0.69925887153805444</v>
      </c>
      <c r="E120" s="132">
        <f>'RAW DATA'!L144/'RAW DATA'!H144</f>
        <v>-2.5466492471738593E-2</v>
      </c>
      <c r="F120" s="135">
        <f>'RAW DATA'!D144/'RAW DATA'!E144</f>
        <v>0.78799142035853775</v>
      </c>
      <c r="G120" s="132">
        <f>'RAW DATA'!C144/'RAW DATA'!F144</f>
        <v>0.73910862653326226</v>
      </c>
      <c r="H120" s="132">
        <f>('RAW DATA'!I144-'RAW DATA'!I143)/'RAW DATA'!I143</f>
        <v>3.9632609984491904E-2</v>
      </c>
      <c r="I120" s="133">
        <f>LN('RAW DATA'!E144)</f>
        <v>30.247609169628937</v>
      </c>
      <c r="J120" s="132">
        <f>'RAW DATA'!K144/'RAW DATA'!J144</f>
        <v>0.14445633290330337</v>
      </c>
      <c r="K120" s="136">
        <f>LN('RAW DATA'!O144)</f>
        <v>3.4011973816621555</v>
      </c>
      <c r="L120" s="137">
        <f>'RAW DATA'!M144/'RAW DATA'!E144</f>
        <v>4.4688435623846407E-3</v>
      </c>
    </row>
    <row r="121" spans="1:12" ht="22.5" customHeight="1" x14ac:dyDescent="0.2">
      <c r="A121" s="144" t="s">
        <v>38</v>
      </c>
      <c r="B121" s="44">
        <v>2024</v>
      </c>
      <c r="C121" s="136">
        <f>'RAW DATA'!G145/'RAW DATA'!H145</f>
        <v>2.9270156558587863</v>
      </c>
      <c r="D121" s="136">
        <f>'RAW DATA'!G145/'RAW DATA'!E145</f>
        <v>0.74535370173325344</v>
      </c>
      <c r="E121" s="132">
        <f>'RAW DATA'!L145/'RAW DATA'!H145</f>
        <v>-0.20005189672224952</v>
      </c>
      <c r="F121" s="135">
        <f>'RAW DATA'!D145/'RAW DATA'!E145</f>
        <v>0.79677022601540815</v>
      </c>
      <c r="G121" s="132">
        <f>'RAW DATA'!C145/'RAW DATA'!F145</f>
        <v>0.48777294143864647</v>
      </c>
      <c r="H121" s="132">
        <f>('RAW DATA'!I145-'RAW DATA'!I144)/'RAW DATA'!I144</f>
        <v>-0.15257744523968814</v>
      </c>
      <c r="I121" s="133">
        <f>LN('RAW DATA'!E145)</f>
        <v>30.238254118407855</v>
      </c>
      <c r="J121" s="132">
        <f>'RAW DATA'!K145/'RAW DATA'!J145</f>
        <v>-8.5457094475255929E-2</v>
      </c>
      <c r="K121" s="136">
        <f>LN('RAW DATA'!O145)</f>
        <v>3.4339872044851463</v>
      </c>
      <c r="L121" s="137">
        <f>'RAW DATA'!M145/'RAW DATA'!E145</f>
        <v>4.4843018602577318E-3</v>
      </c>
    </row>
    <row r="122" spans="1:12" ht="22.5" customHeight="1" x14ac:dyDescent="0.2">
      <c r="A122" s="48" t="s">
        <v>39</v>
      </c>
      <c r="B122" s="37">
        <v>2020</v>
      </c>
      <c r="C122" s="132">
        <f>'RAW DATA'!G147/'RAW DATA'!H147</f>
        <v>0.35946352676092941</v>
      </c>
      <c r="D122" s="132">
        <f>'RAW DATA'!G147/'RAW DATA'!E147</f>
        <v>0.26441571964596255</v>
      </c>
      <c r="E122" s="132">
        <f>'RAW DATA'!L147/'RAW DATA'!H147</f>
        <v>4.121662305243539E-2</v>
      </c>
      <c r="F122" s="132">
        <f>'RAW DATA'!D147/'RAW DATA'!E147</f>
        <v>0.88456186051235175</v>
      </c>
      <c r="G122" s="132">
        <f>'RAW DATA'!C147/'RAW DATA'!F147</f>
        <v>0.93633498210325594</v>
      </c>
      <c r="H122" s="132">
        <f>('RAW DATA'!I147-'RAW DATA'!I146)/'RAW DATA'!I146</f>
        <v>-0.34872578232265028</v>
      </c>
      <c r="I122" s="133">
        <f>LN('RAW DATA'!E147)</f>
        <v>29.662180360580056</v>
      </c>
      <c r="J122" s="132">
        <f>'RAW DATA'!K147/'RAW DATA'!J147</f>
        <v>0.2916738386737025</v>
      </c>
      <c r="K122" s="132">
        <f>LN('RAW DATA'!O147)</f>
        <v>2.3978952727983707</v>
      </c>
      <c r="L122" s="133">
        <f>'RAW DATA'!M147/'RAW DATA'!E147</f>
        <v>3.5212462319466009E-2</v>
      </c>
    </row>
    <row r="123" spans="1:12" ht="22.5" customHeight="1" x14ac:dyDescent="0.2">
      <c r="A123" s="48" t="s">
        <v>39</v>
      </c>
      <c r="B123" s="42">
        <v>2021</v>
      </c>
      <c r="C123" s="132">
        <f>'RAW DATA'!G148/'RAW DATA'!H148</f>
        <v>0.36974300825301493</v>
      </c>
      <c r="D123" s="132">
        <f>'RAW DATA'!G148/'RAW DATA'!E148</f>
        <v>0.26993604349518757</v>
      </c>
      <c r="E123" s="132">
        <f>'RAW DATA'!L148/'RAW DATA'!H148</f>
        <v>5.5629017570622802E-2</v>
      </c>
      <c r="F123" s="132">
        <f>'RAW DATA'!D148/'RAW DATA'!E148</f>
        <v>0.87090505459788548</v>
      </c>
      <c r="G123" s="132">
        <f>'RAW DATA'!C148/'RAW DATA'!F148</f>
        <v>0.97382370004698449</v>
      </c>
      <c r="H123" s="132">
        <f>('RAW DATA'!I148-'RAW DATA'!I147)/'RAW DATA'!I147</f>
        <v>8.0511531580799794E-2</v>
      </c>
      <c r="I123" s="133">
        <f>LN('RAW DATA'!E148)</f>
        <v>29.709747706102956</v>
      </c>
      <c r="J123" s="132">
        <f>'RAW DATA'!K148/'RAW DATA'!J148</f>
        <v>0.25602194708289372</v>
      </c>
      <c r="K123" s="132">
        <f>LN('RAW DATA'!O148)</f>
        <v>2.4849066497880004</v>
      </c>
      <c r="L123" s="133">
        <f>'RAW DATA'!M148/'RAW DATA'!E148</f>
        <v>3.4914525121044392E-2</v>
      </c>
    </row>
    <row r="124" spans="1:12" ht="22.5" customHeight="1" x14ac:dyDescent="0.2">
      <c r="A124" s="48" t="s">
        <v>39</v>
      </c>
      <c r="B124" s="42">
        <v>2022</v>
      </c>
      <c r="C124" s="132">
        <f>'RAW DATA'!G149/'RAW DATA'!H149</f>
        <v>0.26849529996850258</v>
      </c>
      <c r="D124" s="132">
        <f>'RAW DATA'!G149/'RAW DATA'!E149</f>
        <v>0.2116644026786457</v>
      </c>
      <c r="E124" s="132">
        <f>'RAW DATA'!L149/'RAW DATA'!H149</f>
        <v>0.1090789274306867</v>
      </c>
      <c r="F124" s="132">
        <f>'RAW DATA'!D149/'RAW DATA'!E149</f>
        <v>0.83763083096334101</v>
      </c>
      <c r="G124" s="132">
        <f>'RAW DATA'!C149/'RAW DATA'!F149</f>
        <v>1.1724576691002448</v>
      </c>
      <c r="H124" s="132">
        <f>('RAW DATA'!I149-'RAW DATA'!I148)/'RAW DATA'!I148</f>
        <v>0.48021977685055062</v>
      </c>
      <c r="I124" s="133">
        <f>LN('RAW DATA'!E149)</f>
        <v>29.729767490046338</v>
      </c>
      <c r="J124" s="132">
        <f>'RAW DATA'!K149/'RAW DATA'!J149</f>
        <v>0.21082883550274842</v>
      </c>
      <c r="K124" s="132">
        <f>LN('RAW DATA'!O149)</f>
        <v>2.5649493574615367</v>
      </c>
      <c r="L124" s="133">
        <f>'RAW DATA'!M149/'RAW DATA'!E149</f>
        <v>4.1011768399647347E-2</v>
      </c>
    </row>
    <row r="125" spans="1:12" ht="22.5" customHeight="1" x14ac:dyDescent="0.2">
      <c r="A125" s="48" t="s">
        <v>39</v>
      </c>
      <c r="B125" s="42">
        <v>2023</v>
      </c>
      <c r="C125" s="132">
        <f>'RAW DATA'!G150/'RAW DATA'!H150</f>
        <v>0.2243954681640348</v>
      </c>
      <c r="D125" s="132">
        <f>'RAW DATA'!G150/'RAW DATA'!E150</f>
        <v>0.18327041711491543</v>
      </c>
      <c r="E125" s="132">
        <f>'RAW DATA'!L150/'RAW DATA'!H150</f>
        <v>0.12325302861647251</v>
      </c>
      <c r="F125" s="132">
        <f>'RAW DATA'!D150/'RAW DATA'!E150</f>
        <v>0.79029787791391226</v>
      </c>
      <c r="G125" s="132">
        <f>'RAW DATA'!C150/'RAW DATA'!F150</f>
        <v>1.4992138969306099</v>
      </c>
      <c r="H125" s="132">
        <f>('RAW DATA'!I150-'RAW DATA'!I149)/'RAW DATA'!I149</f>
        <v>0.19287243349181452</v>
      </c>
      <c r="I125" s="133">
        <f>LN('RAW DATA'!E150)</f>
        <v>29.757911245397715</v>
      </c>
      <c r="J125" s="132">
        <f>'RAW DATA'!K150/'RAW DATA'!J150</f>
        <v>0.23061950308418863</v>
      </c>
      <c r="K125" s="132">
        <f>LN('RAW DATA'!O150)</f>
        <v>2.6390573296152584</v>
      </c>
      <c r="L125" s="133">
        <f>'RAW DATA'!M150/'RAW DATA'!E150</f>
        <v>4.0567002603455964E-2</v>
      </c>
    </row>
    <row r="126" spans="1:12" ht="22.5" customHeight="1" x14ac:dyDescent="0.2">
      <c r="A126" s="49" t="s">
        <v>39</v>
      </c>
      <c r="B126" s="44">
        <v>2024</v>
      </c>
      <c r="C126" s="132">
        <f>'RAW DATA'!G151/'RAW DATA'!H151</f>
        <v>0.21912280971066234</v>
      </c>
      <c r="D126" s="132">
        <f>'RAW DATA'!G151/'RAW DATA'!E151</f>
        <v>0.17973809362378129</v>
      </c>
      <c r="E126" s="132">
        <f>'RAW DATA'!L151/'RAW DATA'!H151</f>
        <v>0.13441916273834836</v>
      </c>
      <c r="F126" s="132">
        <f>'RAW DATA'!D151/'RAW DATA'!E151</f>
        <v>0.71384179298213313</v>
      </c>
      <c r="G126" s="132">
        <f>'RAW DATA'!C151/'RAW DATA'!F151</f>
        <v>2.1121733324792946</v>
      </c>
      <c r="H126" s="132">
        <f>('RAW DATA'!I151-'RAW DATA'!I150)/'RAW DATA'!I150</f>
        <v>6.6753366756910015E-2</v>
      </c>
      <c r="I126" s="133">
        <f>LN('RAW DATA'!E151)</f>
        <v>29.821503546628712</v>
      </c>
      <c r="J126" s="132">
        <f>'RAW DATA'!K151/'RAW DATA'!J151</f>
        <v>0.24386675667353716</v>
      </c>
      <c r="K126" s="132">
        <f>LN('RAW DATA'!O151)</f>
        <v>2.7080502011022101</v>
      </c>
      <c r="L126" s="133">
        <f>'RAW DATA'!M151/'RAW DATA'!E151</f>
        <v>3.6541713153622674E-2</v>
      </c>
    </row>
    <row r="127" spans="1:12" ht="22.5" customHeight="1" x14ac:dyDescent="0.2">
      <c r="A127" s="48" t="s">
        <v>40</v>
      </c>
      <c r="B127" s="42">
        <v>2020</v>
      </c>
      <c r="C127" s="132">
        <f>'RAW DATA'!G153/'RAW DATA'!H153</f>
        <v>0.16719493540435118</v>
      </c>
      <c r="D127" s="132">
        <f>'RAW DATA'!G153/'RAW DATA'!E153</f>
        <v>0.14324508300443392</v>
      </c>
      <c r="E127" s="132">
        <f>'RAW DATA'!L153/'RAW DATA'!H153</f>
        <v>-1.5458214982240714E-2</v>
      </c>
      <c r="F127" s="132">
        <f>'RAW DATA'!D153/'RAW DATA'!E153</f>
        <v>0.75787514866829975</v>
      </c>
      <c r="G127" s="132">
        <f>'RAW DATA'!C153/'RAW DATA'!F153</f>
        <v>5.6981562021877172</v>
      </c>
      <c r="H127" s="132">
        <f>('RAW DATA'!I153-'RAW DATA'!I152)/'RAW DATA'!I152</f>
        <v>8.3518965850244882E-3</v>
      </c>
      <c r="I127" s="133">
        <f>LN('RAW DATA'!E153)</f>
        <v>29.537002494931734</v>
      </c>
      <c r="J127" s="132">
        <f>'RAW DATA'!K153/'RAW DATA'!J153</f>
        <v>0.15732757040299344</v>
      </c>
      <c r="K127" s="132">
        <f>LN('RAW DATA'!O153)</f>
        <v>1.6094379124341003</v>
      </c>
      <c r="L127" s="133">
        <f>'RAW DATA'!M153/'RAW DATA'!E153</f>
        <v>4.4456448267810202E-4</v>
      </c>
    </row>
    <row r="128" spans="1:12" ht="22.5" customHeight="1" x14ac:dyDescent="0.2">
      <c r="A128" s="48" t="s">
        <v>40</v>
      </c>
      <c r="B128" s="42">
        <v>2021</v>
      </c>
      <c r="C128" s="132">
        <f>'RAW DATA'!G154/'RAW DATA'!H154</f>
        <v>0.15427890826482407</v>
      </c>
      <c r="D128" s="132">
        <f>'RAW DATA'!G154/'RAW DATA'!E154</f>
        <v>0.13365825812129295</v>
      </c>
      <c r="E128" s="132">
        <f>'RAW DATA'!L154/'RAW DATA'!H154</f>
        <v>5.9483780952599694E-2</v>
      </c>
      <c r="F128" s="132">
        <f>'RAW DATA'!D154/'RAW DATA'!E154</f>
        <v>0.83765395267092835</v>
      </c>
      <c r="G128" s="132">
        <f>'RAW DATA'!C154/'RAW DATA'!F154</f>
        <v>6.3757652051138685</v>
      </c>
      <c r="H128" s="132">
        <f>('RAW DATA'!I154-'RAW DATA'!I153)/'RAW DATA'!I153</f>
        <v>-5.9993645464908374E-2</v>
      </c>
      <c r="I128" s="133">
        <f>LN('RAW DATA'!E154)</f>
        <v>29.592144084030288</v>
      </c>
      <c r="J128" s="132">
        <f>'RAW DATA'!K154/'RAW DATA'!J154</f>
        <v>0.13050823033434947</v>
      </c>
      <c r="K128" s="132">
        <f>LN('RAW DATA'!O154)</f>
        <v>1.791759469228055</v>
      </c>
      <c r="L128" s="133">
        <f>'RAW DATA'!M154/'RAW DATA'!E154</f>
        <v>1.748803800018084E-4</v>
      </c>
    </row>
    <row r="129" spans="1:12" ht="22.5" customHeight="1" x14ac:dyDescent="0.2">
      <c r="A129" s="48" t="s">
        <v>40</v>
      </c>
      <c r="B129" s="42">
        <v>2022</v>
      </c>
      <c r="C129" s="132">
        <f>'RAW DATA'!G155/'RAW DATA'!H155</f>
        <v>0.23482815196018522</v>
      </c>
      <c r="D129" s="132">
        <f>'RAW DATA'!G155/'RAW DATA'!E155</f>
        <v>0.19017071451393086</v>
      </c>
      <c r="E129" s="132">
        <f>'RAW DATA'!L155/'RAW DATA'!H155</f>
        <v>3.1460866913288331E-2</v>
      </c>
      <c r="F129" s="132">
        <f>'RAW DATA'!D155/'RAW DATA'!E155</f>
        <v>0.77564969650737581</v>
      </c>
      <c r="G129" s="132">
        <f>'RAW DATA'!C155/'RAW DATA'!F155</f>
        <v>4.9350127573860512</v>
      </c>
      <c r="H129" s="132">
        <f>('RAW DATA'!I155-'RAW DATA'!I154)/'RAW DATA'!I154</f>
        <v>5.6704727889155114E-2</v>
      </c>
      <c r="I129" s="133">
        <f>LN('RAW DATA'!E155)</f>
        <v>29.66387800815858</v>
      </c>
      <c r="J129" s="132">
        <f>'RAW DATA'!K155/'RAW DATA'!J155</f>
        <v>0.15943826387759555</v>
      </c>
      <c r="K129" s="132">
        <f>LN('RAW DATA'!O155)</f>
        <v>1.9459101490553132</v>
      </c>
      <c r="L129" s="133">
        <f>'RAW DATA'!M155/'RAW DATA'!E155</f>
        <v>1.9387757826160029E-4</v>
      </c>
    </row>
    <row r="130" spans="1:12" ht="22.5" customHeight="1" x14ac:dyDescent="0.2">
      <c r="A130" s="48" t="s">
        <v>40</v>
      </c>
      <c r="B130" s="42">
        <v>2023</v>
      </c>
      <c r="C130" s="132">
        <f>'RAW DATA'!G156/'RAW DATA'!H156</f>
        <v>0.4754921499729084</v>
      </c>
      <c r="D130" s="132">
        <f>'RAW DATA'!G156/'RAW DATA'!E156</f>
        <v>0.32226003369901962</v>
      </c>
      <c r="E130" s="132">
        <f>'RAW DATA'!L156/'RAW DATA'!H156</f>
        <v>2.4918503599246244E-2</v>
      </c>
      <c r="F130" s="132">
        <f>'RAW DATA'!D156/'RAW DATA'!E156</f>
        <v>0.88683976984319146</v>
      </c>
      <c r="G130" s="132">
        <f>'RAW DATA'!C156/'RAW DATA'!F156</f>
        <v>1.0591472772940538</v>
      </c>
      <c r="H130" s="132">
        <f>('RAW DATA'!I156-'RAW DATA'!I155)/'RAW DATA'!I155</f>
        <v>4.1328889555588479E-2</v>
      </c>
      <c r="I130" s="133">
        <f>LN('RAW DATA'!E156)</f>
        <v>29.534913930138458</v>
      </c>
      <c r="J130" s="132">
        <f>'RAW DATA'!K156/'RAW DATA'!J156</f>
        <v>0.15883205900951869</v>
      </c>
      <c r="K130" s="132">
        <f>LN('RAW DATA'!O156)</f>
        <v>2.0794415416798357</v>
      </c>
      <c r="L130" s="133">
        <f>'RAW DATA'!M156/'RAW DATA'!E156</f>
        <v>1.7348969581058355E-4</v>
      </c>
    </row>
    <row r="131" spans="1:12" ht="22.5" customHeight="1" x14ac:dyDescent="0.2">
      <c r="A131" s="49" t="s">
        <v>40</v>
      </c>
      <c r="B131" s="44">
        <v>2024</v>
      </c>
      <c r="C131" s="132">
        <f>'RAW DATA'!G157/'RAW DATA'!H157</f>
        <v>0.35517265504261336</v>
      </c>
      <c r="D131" s="132">
        <f>'RAW DATA'!G157/'RAW DATA'!E157</f>
        <v>0.26208664535918119</v>
      </c>
      <c r="E131" s="132">
        <f>'RAW DATA'!L157/'RAW DATA'!H157</f>
        <v>5.2255928331535903E-2</v>
      </c>
      <c r="F131" s="132">
        <f>'RAW DATA'!D157/'RAW DATA'!E157</f>
        <v>0.95211421075017377</v>
      </c>
      <c r="G131" s="132">
        <f>'RAW DATA'!C157/'RAW DATA'!F157</f>
        <v>2.5942133683022162</v>
      </c>
      <c r="H131" s="132">
        <f>('RAW DATA'!I157-'RAW DATA'!I156)/'RAW DATA'!I156</f>
        <v>-1.4422623589537577E-2</v>
      </c>
      <c r="I131" s="133">
        <f>LN('RAW DATA'!E157)</f>
        <v>29.502221066451309</v>
      </c>
      <c r="J131" s="132">
        <f>'RAW DATA'!K157/'RAW DATA'!J157</f>
        <v>0.17150296813647448</v>
      </c>
      <c r="K131" s="132">
        <f>LN('RAW DATA'!O157)</f>
        <v>2.1972245773362196</v>
      </c>
      <c r="L131" s="133">
        <f>'RAW DATA'!M157/'RAW DATA'!E157</f>
        <v>2.4757505134082871E-4</v>
      </c>
    </row>
    <row r="132" spans="1:12" ht="22.5" customHeight="1" x14ac:dyDescent="0.2">
      <c r="A132" s="87" t="s">
        <v>41</v>
      </c>
      <c r="B132" s="79">
        <v>2020</v>
      </c>
      <c r="C132" s="132">
        <f>'RAW DATA'!G159/'RAW DATA'!H159</f>
        <v>0.45513237020832059</v>
      </c>
      <c r="D132" s="132">
        <f>'RAW DATA'!G159/'RAW DATA'!E159</f>
        <v>0.31277729746549632</v>
      </c>
      <c r="E132" s="132">
        <f>'RAW DATA'!L159/'RAW DATA'!H159</f>
        <v>7.0226005454585141E-2</v>
      </c>
      <c r="F132" s="132">
        <f>'RAW DATA'!D159/'RAW DATA'!E159</f>
        <v>0.4557336278924019</v>
      </c>
      <c r="G132" s="132">
        <f>'RAW DATA'!C159/'RAW DATA'!F159</f>
        <v>2.6346697412698568</v>
      </c>
      <c r="H132" s="132">
        <f>('RAW DATA'!I159-'RAW DATA'!I158)/'RAW DATA'!I158</f>
        <v>-0.20880237191880652</v>
      </c>
      <c r="I132" s="133">
        <f>LN('RAW DATA'!E159)</f>
        <v>29.411463959681218</v>
      </c>
      <c r="J132" s="145">
        <f>'RAW DATA'!K159/'RAW DATA'!J159</f>
        <v>0.16004144532342154</v>
      </c>
      <c r="K132" s="132">
        <f>LN('RAW DATA'!O159)</f>
        <v>2.1972245773362196</v>
      </c>
      <c r="L132" s="133">
        <f>'RAW DATA'!M159/'RAW DATA'!E159</f>
        <v>4.9218851533160734E-3</v>
      </c>
    </row>
    <row r="133" spans="1:12" ht="22.5" customHeight="1" x14ac:dyDescent="0.2">
      <c r="A133" s="87" t="s">
        <v>41</v>
      </c>
      <c r="B133" s="81">
        <v>2021</v>
      </c>
      <c r="C133" s="132">
        <f>'RAW DATA'!G160/'RAW DATA'!H160</f>
        <v>0.45467428204151722</v>
      </c>
      <c r="D133" s="132">
        <f>'RAW DATA'!G160/'RAW DATA'!E160</f>
        <v>0.31256088572860363</v>
      </c>
      <c r="E133" s="132">
        <f>'RAW DATA'!L160/'RAW DATA'!H160</f>
        <v>8.6393773827361339E-2</v>
      </c>
      <c r="F133" s="132">
        <f>'RAW DATA'!D160/'RAW DATA'!E160</f>
        <v>0.47168349468636478</v>
      </c>
      <c r="G133" s="132">
        <f>'RAW DATA'!C160/'RAW DATA'!F160</f>
        <v>2.4341306044874718</v>
      </c>
      <c r="H133" s="132">
        <f>('RAW DATA'!I160-'RAW DATA'!I159)/'RAW DATA'!I159</f>
        <v>7.961464007563139E-2</v>
      </c>
      <c r="I133" s="133">
        <f>LN('RAW DATA'!E160)</f>
        <v>29.488809869554249</v>
      </c>
      <c r="J133" s="145">
        <f>'RAW DATA'!K160/'RAW DATA'!J160</f>
        <v>0.12593747398533339</v>
      </c>
      <c r="K133" s="132">
        <f>LN('RAW DATA'!O160)</f>
        <v>2.3025850929940459</v>
      </c>
      <c r="L133" s="133">
        <f>'RAW DATA'!M160/'RAW DATA'!E160</f>
        <v>3.8856094064667274E-3</v>
      </c>
    </row>
    <row r="134" spans="1:12" ht="22.5" customHeight="1" x14ac:dyDescent="0.2">
      <c r="A134" s="87" t="s">
        <v>41</v>
      </c>
      <c r="B134" s="83">
        <v>2022</v>
      </c>
      <c r="C134" s="132">
        <f>'RAW DATA'!G161/'RAW DATA'!H161</f>
        <v>0.41668973169968404</v>
      </c>
      <c r="D134" s="132">
        <f>'RAW DATA'!G161/'RAW DATA'!E161</f>
        <v>0.29412913948332031</v>
      </c>
      <c r="E134" s="132">
        <f>'RAW DATA'!L161/'RAW DATA'!H161</f>
        <v>8.7899649018901835E-2</v>
      </c>
      <c r="F134" s="132">
        <f>'RAW DATA'!D161/'RAW DATA'!E161</f>
        <v>0.43492438644010928</v>
      </c>
      <c r="G134" s="132">
        <f>'RAW DATA'!C161/'RAW DATA'!F161</f>
        <v>2.6478004965465045</v>
      </c>
      <c r="H134" s="132">
        <f>('RAW DATA'!I161-'RAW DATA'!I160)/'RAW DATA'!I160</f>
        <v>0.15491454238854316</v>
      </c>
      <c r="I134" s="133">
        <f>LN('RAW DATA'!E161)</f>
        <v>29.538471804861096</v>
      </c>
      <c r="J134" s="145">
        <f>'RAW DATA'!K161/'RAW DATA'!J161</f>
        <v>0.13787441746843054</v>
      </c>
      <c r="K134" s="132">
        <f>LN('RAW DATA'!O161)</f>
        <v>2.3978952727983707</v>
      </c>
      <c r="L134" s="133">
        <f>'RAW DATA'!M161/'RAW DATA'!E161</f>
        <v>4.6972228634799091E-3</v>
      </c>
    </row>
    <row r="135" spans="1:12" ht="22.5" customHeight="1" x14ac:dyDescent="0.2">
      <c r="A135" s="87" t="s">
        <v>41</v>
      </c>
      <c r="B135" s="81">
        <v>2023</v>
      </c>
      <c r="C135" s="132">
        <f>'RAW DATA'!G162/'RAW DATA'!H162</f>
        <v>0.40231343396628022</v>
      </c>
      <c r="D135" s="132">
        <f>'RAW DATA'!G162/'RAW DATA'!E162</f>
        <v>0.2868926619553116</v>
      </c>
      <c r="E135" s="132">
        <f>'RAW DATA'!L162/'RAW DATA'!H162</f>
        <v>9.5726627853727861E-2</v>
      </c>
      <c r="F135" s="132">
        <f>'RAW DATA'!D162/'RAW DATA'!E162</f>
        <v>0.44692053178696667</v>
      </c>
      <c r="G135" s="132">
        <f>'RAW DATA'!C162/'RAW DATA'!F162</f>
        <v>2.5962584122988588</v>
      </c>
      <c r="H135" s="132">
        <f>('RAW DATA'!I162-'RAW DATA'!I161)/'RAW DATA'!I161</f>
        <v>0.23119694286943937</v>
      </c>
      <c r="I135" s="133">
        <f>LN('RAW DATA'!E162)</f>
        <v>29.607974540439088</v>
      </c>
      <c r="J135" s="145">
        <f>'RAW DATA'!K162/'RAW DATA'!J162</f>
        <v>0.14627764279209599</v>
      </c>
      <c r="K135" s="132">
        <f>LN('RAW DATA'!O162)</f>
        <v>2.4849066497880004</v>
      </c>
      <c r="L135" s="133">
        <f>'RAW DATA'!M162/'RAW DATA'!E162</f>
        <v>5.5717504827433196E-3</v>
      </c>
    </row>
    <row r="136" spans="1:12" ht="22.5" customHeight="1" x14ac:dyDescent="0.2">
      <c r="A136" s="88" t="s">
        <v>41</v>
      </c>
      <c r="B136" s="85">
        <v>2024</v>
      </c>
      <c r="C136" s="132">
        <f>'RAW DATA'!G163/'RAW DATA'!H163</f>
        <v>0.33016446612241174</v>
      </c>
      <c r="D136" s="132">
        <f>'RAW DATA'!G163/'RAW DATA'!E163</f>
        <v>0.24821326575117481</v>
      </c>
      <c r="E136" s="132">
        <f>'RAW DATA'!L163/'RAW DATA'!H163</f>
        <v>9.4816817101542869E-2</v>
      </c>
      <c r="F136" s="132">
        <f>'RAW DATA'!D163/'RAW DATA'!E163</f>
        <v>0.43350561960047573</v>
      </c>
      <c r="G136" s="132">
        <f>'RAW DATA'!C163/'RAW DATA'!F163</f>
        <v>3.186102872599454</v>
      </c>
      <c r="H136" s="132">
        <f>('RAW DATA'!I163-'RAW DATA'!I162)/'RAW DATA'!I162</f>
        <v>0.18521099169734123</v>
      </c>
      <c r="I136" s="133">
        <f>LN('RAW DATA'!E163)</f>
        <v>29.637286001645077</v>
      </c>
      <c r="J136" s="145">
        <f>'RAW DATA'!K163/'RAW DATA'!J163</f>
        <v>0.15433819179060881</v>
      </c>
      <c r="K136" s="132">
        <f>LN('RAW DATA'!O163)</f>
        <v>2.5649493574615367</v>
      </c>
      <c r="L136" s="133">
        <f>'RAW DATA'!M163/'RAW DATA'!E163</f>
        <v>6.5167165109294035E-3</v>
      </c>
    </row>
    <row r="137" spans="1:12" ht="22.5" customHeight="1" x14ac:dyDescent="0.2">
      <c r="A137" s="87" t="s">
        <v>42</v>
      </c>
      <c r="B137" s="42">
        <v>2020</v>
      </c>
      <c r="C137" s="132">
        <f>'RAW DATA'!G165/'RAW DATA'!H165</f>
        <v>0.61673298541020694</v>
      </c>
      <c r="D137" s="132">
        <f>'RAW DATA'!G165/'RAW DATA'!E165</f>
        <v>0.38146867230133602</v>
      </c>
      <c r="E137" s="132">
        <f>'RAW DATA'!L165/'RAW DATA'!H165</f>
        <v>-0.19326347871823787</v>
      </c>
      <c r="F137" s="132">
        <f>'RAW DATA'!D165/'RAW DATA'!E165</f>
        <v>0.6928250437322595</v>
      </c>
      <c r="G137" s="132">
        <f>'RAW DATA'!C165/'RAW DATA'!F165</f>
        <v>1.5464472818279593</v>
      </c>
      <c r="H137" s="132">
        <f>('RAW DATA'!I165-'RAW DATA'!I164)/'RAW DATA'!I164</f>
        <v>-0.22656231008865399</v>
      </c>
      <c r="I137" s="133">
        <f>LN('RAW DATA'!E165)</f>
        <v>25.012647465285117</v>
      </c>
      <c r="J137" s="132">
        <f>'RAW DATA'!K165/'RAW DATA'!J165</f>
        <v>-0.14369582289280963</v>
      </c>
      <c r="K137" s="132">
        <f>LN('RAW DATA'!O165)</f>
        <v>3.3322045101752038</v>
      </c>
      <c r="L137" s="133">
        <f>'RAW DATA'!M165/'RAW DATA'!E165</f>
        <v>2.0230489454766971E-2</v>
      </c>
    </row>
    <row r="138" spans="1:12" ht="22.5" customHeight="1" x14ac:dyDescent="0.2">
      <c r="A138" s="87" t="s">
        <v>42</v>
      </c>
      <c r="B138" s="9">
        <v>2021</v>
      </c>
      <c r="C138" s="132">
        <f>'RAW DATA'!G166/'RAW DATA'!H166</f>
        <v>0.63767484524002771</v>
      </c>
      <c r="D138" s="132">
        <f>'RAW DATA'!G166/'RAW DATA'!E166</f>
        <v>0.38937817668351998</v>
      </c>
      <c r="E138" s="132">
        <f>'RAW DATA'!L166/'RAW DATA'!H166</f>
        <v>-7.3102812642621778E-2</v>
      </c>
      <c r="F138" s="132">
        <f>'RAW DATA'!D166/'RAW DATA'!E166</f>
        <v>0.48743777360234986</v>
      </c>
      <c r="G138" s="132">
        <f>'RAW DATA'!C166/'RAW DATA'!F166</f>
        <v>2.2991701002801168</v>
      </c>
      <c r="H138" s="132">
        <f>('RAW DATA'!I166-'RAW DATA'!I165)/'RAW DATA'!I165</f>
        <v>0.17946163741872398</v>
      </c>
      <c r="I138" s="133">
        <f>LN('RAW DATA'!E166)</f>
        <v>24.970719192534808</v>
      </c>
      <c r="J138" s="132">
        <f>'RAW DATA'!K166/'RAW DATA'!J166</f>
        <v>-0.97545842267731542</v>
      </c>
      <c r="K138" s="132">
        <f>LN('RAW DATA'!O166)</f>
        <v>3.3672958299864741</v>
      </c>
      <c r="L138" s="133">
        <f>'RAW DATA'!M166/'RAW DATA'!E166</f>
        <v>1.8047095089268973E-2</v>
      </c>
    </row>
    <row r="139" spans="1:12" ht="22.5" customHeight="1" x14ac:dyDescent="0.2">
      <c r="A139" s="87" t="s">
        <v>42</v>
      </c>
      <c r="B139" s="9">
        <v>2022</v>
      </c>
      <c r="C139" s="132">
        <f>'RAW DATA'!G167/'RAW DATA'!H167</f>
        <v>0.70546098252614242</v>
      </c>
      <c r="D139" s="132">
        <f>'RAW DATA'!G167/'RAW DATA'!E167</f>
        <v>0.41364826856443704</v>
      </c>
      <c r="E139" s="132">
        <f>'RAW DATA'!L167/'RAW DATA'!H167</f>
        <v>-0.19145622526890815</v>
      </c>
      <c r="F139" s="132">
        <f>'RAW DATA'!D167/'RAW DATA'!E167</f>
        <v>0.37653510543171831</v>
      </c>
      <c r="G139" s="132">
        <f>'RAW DATA'!C167/'RAW DATA'!F167</f>
        <v>2.704749062048426</v>
      </c>
      <c r="H139" s="132">
        <f>('RAW DATA'!I167-'RAW DATA'!I166)/'RAW DATA'!I166</f>
        <v>-0.19501690250580456</v>
      </c>
      <c r="I139" s="133">
        <f>LN('RAW DATA'!E167)</f>
        <v>24.84852025127601</v>
      </c>
      <c r="J139" s="132">
        <f>'RAW DATA'!K167/'RAW DATA'!J167</f>
        <v>-0.17446593270062166</v>
      </c>
      <c r="K139" s="132">
        <f>LN('RAW DATA'!O167)</f>
        <v>3.4011973816621555</v>
      </c>
      <c r="L139" s="133">
        <f>'RAW DATA'!M167/'RAW DATA'!E167</f>
        <v>2.5817303987559406E-2</v>
      </c>
    </row>
    <row r="140" spans="1:12" ht="22.5" customHeight="1" x14ac:dyDescent="0.2">
      <c r="A140" s="87" t="s">
        <v>42</v>
      </c>
      <c r="B140" s="9">
        <v>2023</v>
      </c>
      <c r="C140" s="132">
        <f>'RAW DATA'!G168/'RAW DATA'!H168</f>
        <v>0.89283032735487589</v>
      </c>
      <c r="D140" s="132">
        <f>'RAW DATA'!G168/'RAW DATA'!E168</f>
        <v>0.47169062881751062</v>
      </c>
      <c r="E140" s="132">
        <f>'RAW DATA'!L168/'RAW DATA'!H168</f>
        <v>-0.24919844000301047</v>
      </c>
      <c r="F140" s="132">
        <f>'RAW DATA'!D168/'RAW DATA'!E168</f>
        <v>0.40678681717096826</v>
      </c>
      <c r="G140" s="132">
        <f>'RAW DATA'!C168/'RAW DATA'!F168</f>
        <v>2.2530770601135783</v>
      </c>
      <c r="H140" s="132">
        <f>('RAW DATA'!I168-'RAW DATA'!I167)/'RAW DATA'!I167</f>
        <v>0.17334915352725427</v>
      </c>
      <c r="I140" s="133">
        <f>LN('RAW DATA'!E168)</f>
        <v>24.734586982846189</v>
      </c>
      <c r="J140" s="132">
        <f>'RAW DATA'!K168/'RAW DATA'!J168</f>
        <v>-0.25742667632361527</v>
      </c>
      <c r="K140" s="132">
        <f>LN('RAW DATA'!O168)</f>
        <v>3.4339872044851463</v>
      </c>
      <c r="L140" s="133">
        <f>'RAW DATA'!M168/'RAW DATA'!E168</f>
        <v>3.9865642320056405E-2</v>
      </c>
    </row>
    <row r="141" spans="1:12" ht="22.5" customHeight="1" x14ac:dyDescent="0.2">
      <c r="A141" s="87" t="s">
        <v>42</v>
      </c>
      <c r="B141" s="89">
        <v>2024</v>
      </c>
      <c r="C141" s="132">
        <f>'RAW DATA'!G169/'RAW DATA'!H169</f>
        <v>0.75593343284721315</v>
      </c>
      <c r="D141" s="132">
        <f>'RAW DATA'!G169/'RAW DATA'!E169</f>
        <v>0.4305023292491682</v>
      </c>
      <c r="E141" s="132">
        <f>'RAW DATA'!L169/'RAW DATA'!H169</f>
        <v>-5.1120340055417324E-2</v>
      </c>
      <c r="F141" s="132">
        <f>'RAW DATA'!D169/'RAW DATA'!E169</f>
        <v>0.4326162263378236</v>
      </c>
      <c r="G141" s="132">
        <f>'RAW DATA'!C169/'RAW DATA'!F169</f>
        <v>2.4177117410532651</v>
      </c>
      <c r="H141" s="132">
        <f>('RAW DATA'!I169-'RAW DATA'!I168)/'RAW DATA'!I168</f>
        <v>7.6243210243268605E-2</v>
      </c>
      <c r="I141" s="133">
        <f>LN('RAW DATA'!E169)</f>
        <v>24.62268269894275</v>
      </c>
      <c r="J141" s="132">
        <f>'RAW DATA'!K169/'RAW DATA'!J169</f>
        <v>-1.8391005916424041</v>
      </c>
      <c r="K141" s="132">
        <f>LN('RAW DATA'!O169)</f>
        <v>3.4657359027997265</v>
      </c>
      <c r="L141" s="133">
        <f>'RAW DATA'!M169/'RAW DATA'!E169</f>
        <v>2.9190754531975876E-2</v>
      </c>
    </row>
    <row r="142" spans="1:12" ht="22.5" customHeight="1" x14ac:dyDescent="0.2">
      <c r="A142" s="50" t="s">
        <v>43</v>
      </c>
      <c r="B142" s="9">
        <v>2020</v>
      </c>
      <c r="C142" s="132">
        <f>'RAW DATA'!G171/'RAW DATA'!H171</f>
        <v>0.1645283191578889</v>
      </c>
      <c r="D142" s="132">
        <f>'RAW DATA'!G171/'RAW DATA'!E171</f>
        <v>0.14128322725278597</v>
      </c>
      <c r="E142" s="132">
        <f>'RAW DATA'!L171/'RAW DATA'!H171</f>
        <v>-6.2814510176219487E-2</v>
      </c>
      <c r="F142" s="132">
        <f>'RAW DATA'!D171/'RAW DATA'!E171</f>
        <v>0.94115114025602409</v>
      </c>
      <c r="G142" s="132">
        <f>'RAW DATA'!C171/'RAW DATA'!F171</f>
        <v>0.87113729012388197</v>
      </c>
      <c r="H142" s="132">
        <f>('RAW DATA'!I171-'RAW DATA'!I170)/'RAW DATA'!I170</f>
        <v>-0.54147161885502648</v>
      </c>
      <c r="I142" s="133">
        <f>LN('RAW DATA'!E171)</f>
        <v>29.050263837471501</v>
      </c>
      <c r="J142" s="132">
        <f>'RAW DATA'!K171/'RAW DATA'!J171</f>
        <v>-6.2092511790622584E-2</v>
      </c>
      <c r="K142" s="132">
        <f>LN('RAW DATA'!O171)</f>
        <v>3.2580965380214821</v>
      </c>
      <c r="L142" s="133">
        <f>'RAW DATA'!M171/'RAW DATA'!E171</f>
        <v>2.5498985936339199E-3</v>
      </c>
    </row>
    <row r="143" spans="1:12" ht="22.5" customHeight="1" x14ac:dyDescent="0.2">
      <c r="A143" s="50" t="s">
        <v>43</v>
      </c>
      <c r="B143" s="9">
        <v>2021</v>
      </c>
      <c r="C143" s="132">
        <f>'RAW DATA'!G172/'RAW DATA'!H172</f>
        <v>0.2118453312459001</v>
      </c>
      <c r="D143" s="132">
        <f>'RAW DATA'!G172/'RAW DATA'!E172</f>
        <v>0.17481218583241276</v>
      </c>
      <c r="E143" s="132">
        <f>'RAW DATA'!L172/'RAW DATA'!H172</f>
        <v>-5.031322347098386E-2</v>
      </c>
      <c r="F143" s="132">
        <f>'RAW DATA'!D172/'RAW DATA'!E172</f>
        <v>0.93205380176875152</v>
      </c>
      <c r="G143" s="132">
        <f>'RAW DATA'!C172/'RAW DATA'!F172</f>
        <v>0.4882264458437493</v>
      </c>
      <c r="H143" s="132">
        <f>('RAW DATA'!I172-'RAW DATA'!I171)/'RAW DATA'!I171</f>
        <v>0.17131614785626426</v>
      </c>
      <c r="I143" s="133">
        <f>LN('RAW DATA'!E172)</f>
        <v>29.044344146645596</v>
      </c>
      <c r="J143" s="132">
        <f>'RAW DATA'!K172/'RAW DATA'!J172</f>
        <v>-2.6739817992636954E-2</v>
      </c>
      <c r="K143" s="132">
        <f>LN('RAW DATA'!O172)</f>
        <v>3.2958368660043291</v>
      </c>
      <c r="L143" s="133">
        <f>'RAW DATA'!M172/'RAW DATA'!E172</f>
        <v>1.6202008670449305E-3</v>
      </c>
    </row>
    <row r="144" spans="1:12" ht="22.5" customHeight="1" x14ac:dyDescent="0.2">
      <c r="A144" s="50" t="s">
        <v>43</v>
      </c>
      <c r="B144" s="9">
        <v>2022</v>
      </c>
      <c r="C144" s="132">
        <f>'RAW DATA'!G173/'RAW DATA'!H173</f>
        <v>0.26173784630249713</v>
      </c>
      <c r="D144" s="132">
        <f>'RAW DATA'!G173/'RAW DATA'!E173</f>
        <v>0.20744233603637693</v>
      </c>
      <c r="E144" s="132">
        <f>'RAW DATA'!L173/'RAW DATA'!H173</f>
        <v>-7.4575037687363149E-2</v>
      </c>
      <c r="F144" s="132">
        <f>'RAW DATA'!D173/'RAW DATA'!E173</f>
        <v>0.91944651677300815</v>
      </c>
      <c r="G144" s="132">
        <f>'RAW DATA'!C173/'RAW DATA'!F173</f>
        <v>0.45256550210735907</v>
      </c>
      <c r="H144" s="132">
        <f>('RAW DATA'!I173-'RAW DATA'!I172)/'RAW DATA'!I172</f>
        <v>3.6396388995764688E-2</v>
      </c>
      <c r="I144" s="133">
        <f>LN('RAW DATA'!E173)</f>
        <v>29.014732846056432</v>
      </c>
      <c r="J144" s="132">
        <f>'RAW DATA'!K173/'RAW DATA'!J173</f>
        <v>-1.6813395825041152E-2</v>
      </c>
      <c r="K144" s="132">
        <f>LN('RAW DATA'!O173)</f>
        <v>3.3322045101752038</v>
      </c>
      <c r="L144" s="133">
        <f>'RAW DATA'!M173/'RAW DATA'!E173</f>
        <v>1.4108679100056441E-3</v>
      </c>
    </row>
    <row r="145" spans="1:12" ht="22.5" customHeight="1" x14ac:dyDescent="0.2">
      <c r="A145" s="50" t="s">
        <v>43</v>
      </c>
      <c r="B145" s="9">
        <v>2023</v>
      </c>
      <c r="C145" s="132">
        <f>'RAW DATA'!G174/'RAW DATA'!H174</f>
        <v>0.11416852462251781</v>
      </c>
      <c r="D145" s="132">
        <f>'RAW DATA'!G174/'RAW DATA'!E174</f>
        <v>0.10246970911442531</v>
      </c>
      <c r="E145" s="132">
        <f>'RAW DATA'!L174/'RAW DATA'!H174</f>
        <v>-4.5637433980106105E-2</v>
      </c>
      <c r="F145" s="132">
        <f>'RAW DATA'!D174/'RAW DATA'!E174</f>
        <v>0.97934279569214411</v>
      </c>
      <c r="G145" s="132">
        <f>'RAW DATA'!C174/'RAW DATA'!F174</f>
        <v>0.28107799584250254</v>
      </c>
      <c r="H145" s="132">
        <f>('RAW DATA'!I174-'RAW DATA'!I173)/'RAW DATA'!I173</f>
        <v>-0.19165406810946919</v>
      </c>
      <c r="I145" s="133">
        <f>LN('RAW DATA'!E174)</f>
        <v>29.020954165783369</v>
      </c>
      <c r="J145" s="132">
        <f>'RAW DATA'!K174/'RAW DATA'!J174</f>
        <v>-3.1258210242131212E-2</v>
      </c>
      <c r="K145" s="132">
        <f>LN('RAW DATA'!O174)</f>
        <v>3.3672958299864741</v>
      </c>
      <c r="L145" s="133">
        <f>'RAW DATA'!M174/'RAW DATA'!E174</f>
        <v>9.7928820625020402E-4</v>
      </c>
    </row>
    <row r="146" spans="1:12" ht="22.5" customHeight="1" x14ac:dyDescent="0.2">
      <c r="A146" s="8" t="s">
        <v>43</v>
      </c>
      <c r="B146" s="89">
        <v>2024</v>
      </c>
      <c r="C146" s="132">
        <f>'RAW DATA'!G175/'RAW DATA'!H175</f>
        <v>0.15979860949056324</v>
      </c>
      <c r="D146" s="132">
        <f>'RAW DATA'!G175/'RAW DATA'!E175</f>
        <v>0.13778134253907592</v>
      </c>
      <c r="E146" s="132">
        <f>'RAW DATA'!L175/'RAW DATA'!H175</f>
        <v>-4.2386382837174538E-2</v>
      </c>
      <c r="F146" s="132">
        <f>'RAW DATA'!D175/'RAW DATA'!E175</f>
        <v>0.9830696996980306</v>
      </c>
      <c r="G146" s="132">
        <f>'RAW DATA'!C175/'RAW DATA'!F175</f>
        <v>0.1454431403456708</v>
      </c>
      <c r="H146" s="132">
        <f>('RAW DATA'!I175-'RAW DATA'!I174)/'RAW DATA'!I174</f>
        <v>-0.11101701093447251</v>
      </c>
      <c r="I146" s="133">
        <f>LN('RAW DATA'!E175)</f>
        <v>29.022719212916201</v>
      </c>
      <c r="J146" s="132">
        <f>'RAW DATA'!K175/'RAW DATA'!J175</f>
        <v>-2.1261891464253054E-2</v>
      </c>
      <c r="K146" s="132">
        <f>LN('RAW DATA'!O175)</f>
        <v>3.4011973816621555</v>
      </c>
      <c r="L146" s="133">
        <f>'RAW DATA'!M175/'RAW DATA'!E175</f>
        <v>9.2921025485963532E-4</v>
      </c>
    </row>
    <row r="147" spans="1:12" ht="22.5" customHeight="1" x14ac:dyDescent="0.2">
      <c r="A147" s="142" t="s">
        <v>44</v>
      </c>
      <c r="B147" s="37">
        <v>2020</v>
      </c>
      <c r="C147" s="132">
        <f>'RAW DATA'!G177/'RAW DATA'!H177</f>
        <v>0.10910172503166823</v>
      </c>
      <c r="D147" s="132">
        <f>'RAW DATA'!G177/'RAW DATA'!E177</f>
        <v>9.8369448508930105E-2</v>
      </c>
      <c r="E147" s="132">
        <f>'RAW DATA'!L177/'RAW DATA'!H177</f>
        <v>-5.3989037506498208E-2</v>
      </c>
      <c r="F147" s="132">
        <f>'RAW DATA'!D177/'RAW DATA'!E177</f>
        <v>0.89553126562091989</v>
      </c>
      <c r="G147" s="132">
        <f>'RAW DATA'!C177/'RAW DATA'!F177</f>
        <v>2.9488473293781108</v>
      </c>
      <c r="H147" s="132">
        <f>('RAW DATA'!I177-'RAW DATA'!I176)/'RAW DATA'!I176</f>
        <v>-0.37245552783818969</v>
      </c>
      <c r="I147" s="133">
        <f>LN('RAW DATA'!E177)</f>
        <v>30.100468170523616</v>
      </c>
      <c r="J147" s="132">
        <f>'RAW DATA'!K177/'RAW DATA'!J177</f>
        <v>-0.11462496237630465</v>
      </c>
      <c r="K147" s="132">
        <f>LN('RAW DATA'!O177)</f>
        <v>3.3322045101752038</v>
      </c>
      <c r="L147" s="133">
        <f>'RAW DATA'!M177/'RAW DATA'!E177</f>
        <v>4.766844779000046E-3</v>
      </c>
    </row>
    <row r="148" spans="1:12" ht="22.5" customHeight="1" x14ac:dyDescent="0.2">
      <c r="A148" s="142" t="s">
        <v>44</v>
      </c>
      <c r="B148" s="42">
        <v>2021</v>
      </c>
      <c r="C148" s="132">
        <f>'RAW DATA'!G178/'RAW DATA'!H178</f>
        <v>0.10875130861564332</v>
      </c>
      <c r="D148" s="132">
        <f>'RAW DATA'!G178/'RAW DATA'!E178</f>
        <v>9.8084491779700564E-2</v>
      </c>
      <c r="E148" s="132">
        <f>'RAW DATA'!L178/'RAW DATA'!H178</f>
        <v>4.1468791001487072E-2</v>
      </c>
      <c r="F148" s="132">
        <f>'RAW DATA'!D178/'RAW DATA'!E178</f>
        <v>0.90137074414704599</v>
      </c>
      <c r="G148" s="132">
        <f>'RAW DATA'!C178/'RAW DATA'!F178</f>
        <v>2.5798771882201117</v>
      </c>
      <c r="H148" s="132">
        <f>('RAW DATA'!I178-'RAW DATA'!I177)/'RAW DATA'!I177</f>
        <v>-6.0373594399201008E-2</v>
      </c>
      <c r="I148" s="133">
        <f>LN('RAW DATA'!E178)</f>
        <v>30.113566025251799</v>
      </c>
      <c r="J148" s="132">
        <f>'RAW DATA'!K178/'RAW DATA'!J178</f>
        <v>0.23407776575401354</v>
      </c>
      <c r="K148" s="132">
        <f>LN('RAW DATA'!O178)</f>
        <v>3.3672958299864741</v>
      </c>
      <c r="L148" s="133">
        <f>'RAW DATA'!M178/'RAW DATA'!E178</f>
        <v>4.2564713189796747E-3</v>
      </c>
    </row>
    <row r="149" spans="1:12" ht="22.5" customHeight="1" x14ac:dyDescent="0.2">
      <c r="A149" s="142" t="s">
        <v>44</v>
      </c>
      <c r="B149" s="42">
        <v>2022</v>
      </c>
      <c r="C149" s="132">
        <f>'RAW DATA'!G179/'RAW DATA'!H179</f>
        <v>0.11992203416889495</v>
      </c>
      <c r="D149" s="132">
        <f>'RAW DATA'!G179/'RAW DATA'!E179</f>
        <v>0.10708069893266299</v>
      </c>
      <c r="E149" s="132">
        <f>'RAW DATA'!L179/'RAW DATA'!H179</f>
        <v>5.0465254815051243E-2</v>
      </c>
      <c r="F149" s="132">
        <f>'RAW DATA'!D179/'RAW DATA'!E179</f>
        <v>0.89611362310398968</v>
      </c>
      <c r="G149" s="132">
        <f>'RAW DATA'!C179/'RAW DATA'!F179</f>
        <v>2.2127329226610737</v>
      </c>
      <c r="H149" s="132">
        <f>('RAW DATA'!I179-'RAW DATA'!I178)/'RAW DATA'!I178</f>
        <v>0.25773766444238605</v>
      </c>
      <c r="I149" s="133">
        <f>LN('RAW DATA'!E179)</f>
        <v>30.146264613988173</v>
      </c>
      <c r="J149" s="132">
        <f>'RAW DATA'!K179/'RAW DATA'!J179</f>
        <v>0.18128129476977936</v>
      </c>
      <c r="K149" s="132">
        <f>LN('RAW DATA'!O179)</f>
        <v>3.4011973816621555</v>
      </c>
      <c r="L149" s="133">
        <f>'RAW DATA'!M179/'RAW DATA'!E179</f>
        <v>4.7937290010244419E-3</v>
      </c>
    </row>
    <row r="150" spans="1:12" ht="22.5" customHeight="1" x14ac:dyDescent="0.2">
      <c r="A150" s="142" t="s">
        <v>44</v>
      </c>
      <c r="B150" s="42">
        <v>2023</v>
      </c>
      <c r="C150" s="132">
        <f>'RAW DATA'!G180/'RAW DATA'!H180</f>
        <v>0.12427475340474567</v>
      </c>
      <c r="D150" s="132">
        <f>'RAW DATA'!G180/'RAW DATA'!E180</f>
        <v>0.11053770711153381</v>
      </c>
      <c r="E150" s="132">
        <f>'RAW DATA'!L180/'RAW DATA'!H180</f>
        <v>5.6318546450496547E-2</v>
      </c>
      <c r="F150" s="132">
        <f>'RAW DATA'!D180/'RAW DATA'!E180</f>
        <v>0.92177076437120808</v>
      </c>
      <c r="G150" s="132">
        <f>'RAW DATA'!C180/'RAW DATA'!F180</f>
        <v>1.6866010450175248</v>
      </c>
      <c r="H150" s="132">
        <f>('RAW DATA'!I180-'RAW DATA'!I179)/'RAW DATA'!I179</f>
        <v>0.18532581642256121</v>
      </c>
      <c r="I150" s="133">
        <f>LN('RAW DATA'!E180)</f>
        <v>30.135935773064592</v>
      </c>
      <c r="J150" s="132">
        <f>'RAW DATA'!K180/'RAW DATA'!J180</f>
        <v>0.18617645084382589</v>
      </c>
      <c r="K150" s="132">
        <f>LN('RAW DATA'!O180)</f>
        <v>3.4339872044851463</v>
      </c>
      <c r="L150" s="133">
        <f>'RAW DATA'!M180/'RAW DATA'!E180</f>
        <v>4.3024453577697368E-3</v>
      </c>
    </row>
    <row r="151" spans="1:12" ht="22.5" customHeight="1" x14ac:dyDescent="0.2">
      <c r="A151" s="143" t="s">
        <v>44</v>
      </c>
      <c r="B151" s="44">
        <v>2024</v>
      </c>
      <c r="C151" s="132">
        <f>'RAW DATA'!G181/'RAW DATA'!H181</f>
        <v>0.12493013029241806</v>
      </c>
      <c r="D151" s="132">
        <f>'RAW DATA'!G181/'RAW DATA'!E181</f>
        <v>0.11105590198739126</v>
      </c>
      <c r="E151" s="132">
        <f>'RAW DATA'!L181/'RAW DATA'!H181</f>
        <v>8.7891737288885191E-2</v>
      </c>
      <c r="F151" s="132">
        <f>'RAW DATA'!D181/'RAW DATA'!E181</f>
        <v>0.92402656215553469</v>
      </c>
      <c r="G151" s="132">
        <f>'RAW DATA'!C181/'RAW DATA'!F181</f>
        <v>1.610197955953885</v>
      </c>
      <c r="H151" s="132">
        <f>('RAW DATA'!I181-'RAW DATA'!I180)/'RAW DATA'!I180</f>
        <v>6.6931729719749339E-2</v>
      </c>
      <c r="I151" s="133">
        <f>LN('RAW DATA'!E181)</f>
        <v>30.177928663873214</v>
      </c>
      <c r="J151" s="132">
        <f>'RAW DATA'!K181/'RAW DATA'!J181</f>
        <v>0.1200160945293699</v>
      </c>
      <c r="K151" s="132">
        <f>LN('RAW DATA'!O181)</f>
        <v>3.4657359027997265</v>
      </c>
      <c r="L151" s="133">
        <f>'RAW DATA'!M181/'RAW DATA'!E181</f>
        <v>6.4126152169557554E-3</v>
      </c>
    </row>
    <row r="152" spans="1:12" ht="22.5" customHeight="1" x14ac:dyDescent="0.2">
      <c r="A152" s="48" t="s">
        <v>45</v>
      </c>
      <c r="B152" s="37">
        <v>2020</v>
      </c>
      <c r="C152" s="132">
        <f>'RAW DATA'!G183/'RAW DATA'!H183</f>
        <v>3.1546566981022095</v>
      </c>
      <c r="D152" s="132">
        <f>'RAW DATA'!G183/'RAW DATA'!E183</f>
        <v>0.75930622608198017</v>
      </c>
      <c r="E152" s="132">
        <f>'RAW DATA'!L183/'RAW DATA'!H183</f>
        <v>2.8412593560185748E-2</v>
      </c>
      <c r="F152" s="132">
        <f>'RAW DATA'!D183/'RAW DATA'!E183</f>
        <v>0.54400796320995459</v>
      </c>
      <c r="G152" s="132">
        <f>'RAW DATA'!C183/'RAW DATA'!F183</f>
        <v>1.3925055465003602</v>
      </c>
      <c r="H152" s="132">
        <f>('RAW DATA'!I183-'RAW DATA'!I182)/'RAW DATA'!I182</f>
        <v>0.27772528084490833</v>
      </c>
      <c r="I152" s="133">
        <f>LN('RAW DATA'!E183)</f>
        <v>30.548619998039843</v>
      </c>
      <c r="J152" s="132">
        <f>'RAW DATA'!K183/'RAW DATA'!J183</f>
        <v>0.23644820197857738</v>
      </c>
      <c r="K152" s="132">
        <f>LN('RAW DATA'!O183)</f>
        <v>1.6094379124341003</v>
      </c>
      <c r="L152" s="133">
        <f>'RAW DATA'!M183/'RAW DATA'!E183</f>
        <v>9.3192601148345505E-4</v>
      </c>
    </row>
    <row r="153" spans="1:12" ht="22.5" customHeight="1" x14ac:dyDescent="0.2">
      <c r="A153" s="48" t="s">
        <v>45</v>
      </c>
      <c r="B153" s="42">
        <v>2021</v>
      </c>
      <c r="C153" s="132">
        <f>'RAW DATA'!G184/'RAW DATA'!H184</f>
        <v>3.6878063602345366</v>
      </c>
      <c r="D153" s="132">
        <f>'RAW DATA'!G184/'RAW DATA'!E184</f>
        <v>0.7866806085501431</v>
      </c>
      <c r="E153" s="132">
        <f>'RAW DATA'!L184/'RAW DATA'!H184</f>
        <v>4.6730160023376191E-3</v>
      </c>
      <c r="F153" s="132">
        <f>'RAW DATA'!D184/'RAW DATA'!E184</f>
        <v>0.36603218280493233</v>
      </c>
      <c r="G153" s="132">
        <f>'RAW DATA'!C184/'RAW DATA'!F184</f>
        <v>1.7677182851005362</v>
      </c>
      <c r="H153" s="132">
        <f>('RAW DATA'!I184-'RAW DATA'!I183)/'RAW DATA'!I183</f>
        <v>-0.58440296952582782</v>
      </c>
      <c r="I153" s="133">
        <f>LN('RAW DATA'!E184)</f>
        <v>30.67965068324483</v>
      </c>
      <c r="J153" s="132">
        <f>'RAW DATA'!K184/'RAW DATA'!J184</f>
        <v>0.14991064074844923</v>
      </c>
      <c r="K153" s="132">
        <f>LN('RAW DATA'!O184)</f>
        <v>1.791759469228055</v>
      </c>
      <c r="L153" s="133">
        <f>'RAW DATA'!M184/'RAW DATA'!E184</f>
        <v>8.7451808791087033E-4</v>
      </c>
    </row>
    <row r="154" spans="1:12" ht="22.5" customHeight="1" x14ac:dyDescent="0.2">
      <c r="A154" s="48" t="s">
        <v>45</v>
      </c>
      <c r="B154" s="42">
        <v>2022</v>
      </c>
      <c r="C154" s="132">
        <f>'RAW DATA'!G185/'RAW DATA'!H185</f>
        <v>3.7882105124242562</v>
      </c>
      <c r="D154" s="132">
        <f>'RAW DATA'!G185/'RAW DATA'!E185</f>
        <v>0.79115371026289671</v>
      </c>
      <c r="E154" s="132">
        <f>'RAW DATA'!L185/'RAW DATA'!H185</f>
        <v>5.3285202118969069E-3</v>
      </c>
      <c r="F154" s="132">
        <f>'RAW DATA'!D185/'RAW DATA'!E185</f>
        <v>0.37560151200072239</v>
      </c>
      <c r="G154" s="132">
        <f>'RAW DATA'!C185/'RAW DATA'!F185</f>
        <v>1.5280181092256739</v>
      </c>
      <c r="H154" s="132">
        <f>('RAW DATA'!I185-'RAW DATA'!I184)/'RAW DATA'!I184</f>
        <v>0.97651898826947348</v>
      </c>
      <c r="I154" s="133">
        <f>LN('RAW DATA'!E185)</f>
        <v>30.713527212989238</v>
      </c>
      <c r="J154" s="132">
        <f>'RAW DATA'!K185/'RAW DATA'!J185</f>
        <v>0.2880756789169156</v>
      </c>
      <c r="K154" s="132">
        <f>LN('RAW DATA'!O185)</f>
        <v>1.9459101490553132</v>
      </c>
      <c r="L154" s="133">
        <f>'RAW DATA'!M185/'RAW DATA'!E185</f>
        <v>1.7168327037336952E-3</v>
      </c>
    </row>
    <row r="155" spans="1:12" ht="22.5" customHeight="1" x14ac:dyDescent="0.2">
      <c r="A155" s="48" t="s">
        <v>45</v>
      </c>
      <c r="B155" s="42">
        <v>2023</v>
      </c>
      <c r="C155" s="132">
        <f>'RAW DATA'!G186/'RAW DATA'!H186</f>
        <v>4.9917264855696022</v>
      </c>
      <c r="D155" s="132">
        <f>'RAW DATA'!G186/'RAW DATA'!E186</f>
        <v>0.83310319614748984</v>
      </c>
      <c r="E155" s="132">
        <f>'RAW DATA'!L186/'RAW DATA'!H186</f>
        <v>-0.3906896818914265</v>
      </c>
      <c r="F155" s="132">
        <f>'RAW DATA'!D186/'RAW DATA'!E186</f>
        <v>0.29761084044580627</v>
      </c>
      <c r="G155" s="132">
        <f>'RAW DATA'!C186/'RAW DATA'!F186</f>
        <v>1.1098128616223975</v>
      </c>
      <c r="H155" s="132">
        <f>('RAW DATA'!I186-'RAW DATA'!I185)/'RAW DATA'!I185</f>
        <v>-0.42305138948915394</v>
      </c>
      <c r="I155" s="133">
        <f>LN('RAW DATA'!E186)</f>
        <v>30.611304085629598</v>
      </c>
      <c r="J155" s="132">
        <f>'RAW DATA'!K186/'RAW DATA'!J186</f>
        <v>-0.1777991775659859</v>
      </c>
      <c r="K155" s="132">
        <f>LN('RAW DATA'!O186)</f>
        <v>2.0794415416798357</v>
      </c>
      <c r="L155" s="133">
        <f>'RAW DATA'!M186/'RAW DATA'!E186</f>
        <v>1.4438887475556818E-3</v>
      </c>
    </row>
    <row r="156" spans="1:12" ht="22.5" customHeight="1" x14ac:dyDescent="0.2">
      <c r="A156" s="48" t="s">
        <v>45</v>
      </c>
      <c r="B156" s="44">
        <v>2024</v>
      </c>
      <c r="C156" s="132">
        <f>'RAW DATA'!G187/'RAW DATA'!H187</f>
        <v>7.3061008003963872</v>
      </c>
      <c r="D156" s="132">
        <f>'RAW DATA'!G187/'RAW DATA'!E187</f>
        <v>0.87960656582059804</v>
      </c>
      <c r="E156" s="132">
        <f>'RAW DATA'!L187/'RAW DATA'!H187</f>
        <v>-0.49712053044453047</v>
      </c>
      <c r="F156" s="132">
        <f>'RAW DATA'!D187/'RAW DATA'!E187</f>
        <v>0.29681480052402498</v>
      </c>
      <c r="G156" s="132">
        <f>'RAW DATA'!C187/'RAW DATA'!F187</f>
        <v>1.2136875289525912</v>
      </c>
      <c r="H156" s="132">
        <f>('RAW DATA'!I187-'RAW DATA'!I186)/'RAW DATA'!I186</f>
        <v>-0.53380544120615314</v>
      </c>
      <c r="I156" s="133">
        <f>LN('RAW DATA'!E187)</f>
        <v>30.534755172739995</v>
      </c>
      <c r="J156" s="132">
        <f>'RAW DATA'!K187/'RAW DATA'!J187</f>
        <v>-0.11655916488344796</v>
      </c>
      <c r="K156" s="132">
        <f>LN('RAW DATA'!O187)</f>
        <v>2.1972245773362196</v>
      </c>
      <c r="L156" s="133">
        <f>'RAW DATA'!M187/'RAW DATA'!E187</f>
        <v>1.3076277746731709E-3</v>
      </c>
    </row>
    <row r="157" spans="1:12" ht="12.75" x14ac:dyDescent="0.2">
      <c r="A157" s="93" t="s">
        <v>46</v>
      </c>
      <c r="B157" s="37">
        <v>2020</v>
      </c>
      <c r="C157" s="146">
        <f>'RAW DATA'!G189/'RAW DATA'!H189</f>
        <v>0.64370206625950899</v>
      </c>
      <c r="D157" s="146">
        <f>'RAW DATA'!G189/'RAW DATA'!E189</f>
        <v>0.39161723981058794</v>
      </c>
      <c r="E157" s="146">
        <f>'RAW DATA'!L189/'RAW DATA'!H189</f>
        <v>-7.3878431353984336E-2</v>
      </c>
      <c r="F157" s="146">
        <f>'RAW DATA'!D189/'RAW DATA'!E189</f>
        <v>0.54137181466972351</v>
      </c>
      <c r="G157" s="146">
        <f>'RAW DATA'!C189/'RAW DATA'!F189</f>
        <v>7.3700645931747166</v>
      </c>
      <c r="H157" s="146">
        <f>('RAW DATA'!I189-'RAW DATA'!I188)/'RAW DATA'!I188</f>
        <v>-0.17930888306058948</v>
      </c>
      <c r="I157" s="146">
        <f>LN('RAW DATA'!E189)</f>
        <v>26.980229340259136</v>
      </c>
      <c r="J157" s="146">
        <f>'RAW DATA'!K189/'RAW DATA'!J189</f>
        <v>-1.2813563466260756</v>
      </c>
      <c r="K157" s="146">
        <f>LN('RAW DATA'!O189)</f>
        <v>3.2580965380214821</v>
      </c>
      <c r="L157" s="171">
        <f>'RAW DATA'!M189/'RAW DATA'!E189</f>
        <v>1.641962844115637E-2</v>
      </c>
    </row>
    <row r="158" spans="1:12" ht="12.75" x14ac:dyDescent="0.2">
      <c r="A158" s="93" t="s">
        <v>46</v>
      </c>
      <c r="B158" s="42">
        <v>2021</v>
      </c>
      <c r="C158" s="146">
        <f>'RAW DATA'!G190/'RAW DATA'!H190</f>
        <v>0.63208185630115155</v>
      </c>
      <c r="D158" s="146">
        <f>'RAW DATA'!G190/'RAW DATA'!E190</f>
        <v>0.38728563390421017</v>
      </c>
      <c r="E158" s="146">
        <f>'RAW DATA'!L190/'RAW DATA'!H190</f>
        <v>-5.8827251649789171E-2</v>
      </c>
      <c r="F158" s="146">
        <f>'RAW DATA'!D190/'RAW DATA'!E190</f>
        <v>0.52901331593830736</v>
      </c>
      <c r="G158" s="146">
        <f>'RAW DATA'!C190/'RAW DATA'!F190</f>
        <v>9.2067117557237754</v>
      </c>
      <c r="H158" s="146">
        <f>('RAW DATA'!I190-'RAW DATA'!I189)/'RAW DATA'!I189</f>
        <v>-6.3235119415146167E-3</v>
      </c>
      <c r="I158" s="146">
        <f>LN('RAW DATA'!E190)</f>
        <v>26.921752568709444</v>
      </c>
      <c r="J158" s="146">
        <f>'RAW DATA'!K190/'RAW DATA'!J190</f>
        <v>1.1202016447757914</v>
      </c>
      <c r="K158" s="146">
        <f>LN('RAW DATA'!O190)</f>
        <v>3.2958368660043291</v>
      </c>
      <c r="L158" s="171">
        <f>'RAW DATA'!M190/'RAW DATA'!E190</f>
        <v>1.6317503220432607E-2</v>
      </c>
    </row>
    <row r="159" spans="1:12" ht="12.75" x14ac:dyDescent="0.2">
      <c r="A159" s="93" t="s">
        <v>46</v>
      </c>
      <c r="B159" s="42">
        <v>2022</v>
      </c>
      <c r="C159" s="146">
        <f>'RAW DATA'!G191/'RAW DATA'!H191</f>
        <v>0.12065777234980506</v>
      </c>
      <c r="D159" s="146">
        <f>'RAW DATA'!G191/'RAW DATA'!E191</f>
        <v>0.10766692145168349</v>
      </c>
      <c r="E159" s="146">
        <f>'RAW DATA'!L191/'RAW DATA'!H191</f>
        <v>0.48001442008863371</v>
      </c>
      <c r="F159" s="146">
        <f>'RAW DATA'!D191/'RAW DATA'!E191</f>
        <v>0.40934114309449293</v>
      </c>
      <c r="G159" s="146">
        <f>'RAW DATA'!C191/'RAW DATA'!F191</f>
        <v>6.0898037206206359</v>
      </c>
      <c r="H159" s="146">
        <f>('RAW DATA'!I191-'RAW DATA'!I190)/'RAW DATA'!I190</f>
        <v>7.5317239593391383</v>
      </c>
      <c r="I159" s="146">
        <f>LN('RAW DATA'!E191)</f>
        <v>27.20234224957019</v>
      </c>
      <c r="J159" s="146">
        <f>'RAW DATA'!K191/'RAW DATA'!J191</f>
        <v>3.6481430875457341E-2</v>
      </c>
      <c r="K159" s="146">
        <f>LN('RAW DATA'!O191)</f>
        <v>3.3322045101752038</v>
      </c>
      <c r="L159" s="171">
        <f>'RAW DATA'!M191/'RAW DATA'!E191</f>
        <v>1.1556280152357689E-2</v>
      </c>
    </row>
    <row r="160" spans="1:12" ht="12.75" x14ac:dyDescent="0.2">
      <c r="A160" s="93" t="s">
        <v>46</v>
      </c>
      <c r="B160" s="42">
        <v>2023</v>
      </c>
      <c r="C160" s="146">
        <f>'RAW DATA'!G192/'RAW DATA'!H192</f>
        <v>3.0438064841272421E-2</v>
      </c>
      <c r="D160" s="146">
        <f>'RAW DATA'!G192/'RAW DATA'!E192</f>
        <v>2.9538956177789365E-2</v>
      </c>
      <c r="E160" s="146">
        <f>'RAW DATA'!L192/'RAW DATA'!H192</f>
        <v>7.1045802065059242E-4</v>
      </c>
      <c r="F160" s="146">
        <f>'RAW DATA'!D192/'RAW DATA'!E192</f>
        <v>0.53855614195888535</v>
      </c>
      <c r="G160" s="146">
        <f>'RAW DATA'!C192/'RAW DATA'!F192</f>
        <v>23.663231448835329</v>
      </c>
      <c r="H160" s="146">
        <f>('RAW DATA'!I192-'RAW DATA'!I191)/'RAW DATA'!I191</f>
        <v>-0.92017845547033628</v>
      </c>
      <c r="I160" s="146">
        <f>LN('RAW DATA'!E192)</f>
        <v>27.000567857660545</v>
      </c>
      <c r="J160" s="146">
        <f>'RAW DATA'!K192/'RAW DATA'!J192</f>
        <v>1.7536878941983379E-2</v>
      </c>
      <c r="K160" s="146">
        <f>LN('RAW DATA'!O192)</f>
        <v>3.3672958299864741</v>
      </c>
      <c r="L160" s="171">
        <f>'RAW DATA'!M192/'RAW DATA'!E192</f>
        <v>7.1105302363511516E-3</v>
      </c>
    </row>
    <row r="161" spans="1:12" ht="12.75" x14ac:dyDescent="0.2">
      <c r="A161" s="93" t="s">
        <v>46</v>
      </c>
      <c r="B161" s="44">
        <v>2024</v>
      </c>
      <c r="C161" s="146">
        <f>'RAW DATA'!G193/'RAW DATA'!H193</f>
        <v>3.8622035921107814E-2</v>
      </c>
      <c r="D161" s="146">
        <f>'RAW DATA'!G193/'RAW DATA'!E193</f>
        <v>3.7185842958603943E-2</v>
      </c>
      <c r="E161" s="146">
        <f>'RAW DATA'!L193/'RAW DATA'!H193</f>
        <v>-6.7708335318742811E-3</v>
      </c>
      <c r="F161" s="146">
        <f>'RAW DATA'!D193/'RAW DATA'!E193</f>
        <v>0.52018594459653733</v>
      </c>
      <c r="G161" s="146">
        <f>'RAW DATA'!C193/'RAW DATA'!F193</f>
        <v>17.834546788219143</v>
      </c>
      <c r="H161" s="146">
        <f>('RAW DATA'!I193-'RAW DATA'!I192)/'RAW DATA'!I192</f>
        <v>9.6746032535072676E-2</v>
      </c>
      <c r="I161" s="146">
        <f>LN('RAW DATA'!E193)</f>
        <v>26.994720830976007</v>
      </c>
      <c r="J161" s="146">
        <f>'RAW DATA'!K193/'RAW DATA'!J193</f>
        <v>-4.0978122604421525E-2</v>
      </c>
      <c r="K161" s="146">
        <f>LN('RAW DATA'!O193)</f>
        <v>3.4011973816621555</v>
      </c>
      <c r="L161" s="171">
        <f>'RAW DATA'!M193/'RAW DATA'!E193</f>
        <v>7.0331692622311245E-3</v>
      </c>
    </row>
    <row r="162" spans="1:12" ht="12.75" x14ac:dyDescent="0.2">
      <c r="A162" s="93" t="s">
        <v>47</v>
      </c>
      <c r="B162" s="37">
        <v>2020</v>
      </c>
      <c r="C162" s="146">
        <f>'RAW DATA'!G195/'RAW DATA'!H195</f>
        <v>0.50345266905099084</v>
      </c>
      <c r="D162" s="146">
        <f>'RAW DATA'!G195/'RAW DATA'!E195</f>
        <v>0.3348643288975503</v>
      </c>
      <c r="E162" s="146">
        <f>'RAW DATA'!L195/'RAW DATA'!H195</f>
        <v>6.3590680602563177E-2</v>
      </c>
      <c r="F162" s="146">
        <f>'RAW DATA'!D195/'RAW DATA'!E195</f>
        <v>0.6753434741816764</v>
      </c>
      <c r="G162" s="146">
        <f>'RAW DATA'!C195/'RAW DATA'!F195</f>
        <v>1.9807750882208259</v>
      </c>
      <c r="H162" s="146">
        <f>('RAW DATA'!I195-'RAW DATA'!I194)/'RAW DATA'!I194</f>
        <v>-0.44776303079959795</v>
      </c>
      <c r="I162" s="146">
        <f>LN('RAW DATA'!E195)</f>
        <v>30.906610125334616</v>
      </c>
      <c r="J162" s="146">
        <f>'RAW DATA'!K195/'RAW DATA'!J195</f>
        <v>0.18913720012232346</v>
      </c>
      <c r="K162" s="146">
        <f>LN('RAW DATA'!O195)</f>
        <v>3.4339872044851463</v>
      </c>
      <c r="L162" s="171">
        <f>'RAW DATA'!M195/'RAW DATA'!E195</f>
        <v>5.2074820475368887E-3</v>
      </c>
    </row>
    <row r="163" spans="1:12" ht="12.75" x14ac:dyDescent="0.2">
      <c r="A163" s="93" t="s">
        <v>47</v>
      </c>
      <c r="B163" s="42">
        <v>2021</v>
      </c>
      <c r="C163" s="146">
        <f>'RAW DATA'!G196/'RAW DATA'!H196</f>
        <v>0.50513198406170612</v>
      </c>
      <c r="D163" s="146">
        <f>'RAW DATA'!G196/'RAW DATA'!E196</f>
        <v>0.33560643811353436</v>
      </c>
      <c r="E163" s="146">
        <f>'RAW DATA'!L196/'RAW DATA'!H196</f>
        <v>8.0842574452270735E-2</v>
      </c>
      <c r="F163" s="146">
        <f>'RAW DATA'!D196/'RAW DATA'!E196</f>
        <v>0.60323535685992979</v>
      </c>
      <c r="G163" s="146">
        <f>'RAW DATA'!C196/'RAW DATA'!F196</f>
        <v>3.7936776011618822</v>
      </c>
      <c r="H163" s="146">
        <f>('RAW DATA'!I196-'RAW DATA'!I195)/'RAW DATA'!I195</f>
        <v>0.43650223869133514</v>
      </c>
      <c r="I163" s="146">
        <f>LN('RAW DATA'!E196)</f>
        <v>30.99368835840832</v>
      </c>
      <c r="J163" s="146">
        <f>'RAW DATA'!K196/'RAW DATA'!J196</f>
        <v>0.16163650123544693</v>
      </c>
      <c r="K163" s="146">
        <f>LN('RAW DATA'!O196)</f>
        <v>3.4657359027997265</v>
      </c>
      <c r="L163" s="171">
        <f>'RAW DATA'!M196/'RAW DATA'!E196</f>
        <v>5.8614876832039685E-3</v>
      </c>
    </row>
    <row r="164" spans="1:12" ht="12.75" x14ac:dyDescent="0.2">
      <c r="A164" s="93" t="s">
        <v>47</v>
      </c>
      <c r="B164" s="42">
        <v>2022</v>
      </c>
      <c r="C164" s="146">
        <f>'RAW DATA'!G197/'RAW DATA'!H197</f>
        <v>0.47706208275979706</v>
      </c>
      <c r="D164" s="146">
        <f>'RAW DATA'!G197/'RAW DATA'!E197</f>
        <v>0.32298038676102003</v>
      </c>
      <c r="E164" s="146">
        <f>'RAW DATA'!L197/'RAW DATA'!H197</f>
        <v>8.8382353822672996E-2</v>
      </c>
      <c r="F164" s="146">
        <f>'RAW DATA'!D197/'RAW DATA'!E197</f>
        <v>0.59958845701075647</v>
      </c>
      <c r="G164" s="146">
        <f>'RAW DATA'!C197/'RAW DATA'!F197</f>
        <v>4.6529203649945305</v>
      </c>
      <c r="H164" s="146">
        <f>('RAW DATA'!I197-'RAW DATA'!I196)/'RAW DATA'!I196</f>
        <v>4.7986461928801613E-2</v>
      </c>
      <c r="I164" s="146">
        <f>LN('RAW DATA'!E197)</f>
        <v>31.052092361434468</v>
      </c>
      <c r="J164" s="146">
        <f>'RAW DATA'!K197/'RAW DATA'!J197</f>
        <v>0.16018993196174364</v>
      </c>
      <c r="K164" s="146">
        <f>LN('RAW DATA'!O197)</f>
        <v>3.4965075614664802</v>
      </c>
      <c r="L164" s="171">
        <f>'RAW DATA'!M197/'RAW DATA'!E197</f>
        <v>6.1011681034651164E-3</v>
      </c>
    </row>
    <row r="165" spans="1:12" ht="12.75" x14ac:dyDescent="0.2">
      <c r="A165" s="93" t="s">
        <v>47</v>
      </c>
      <c r="B165" s="42">
        <v>2023</v>
      </c>
      <c r="C165" s="146">
        <f>'RAW DATA'!G198/'RAW DATA'!H198</f>
        <v>0.43497728341239983</v>
      </c>
      <c r="D165" s="146">
        <f>'RAW DATA'!G198/'RAW DATA'!E198</f>
        <v>0.30312485670715056</v>
      </c>
      <c r="E165" s="146">
        <f>'RAW DATA'!L198/'RAW DATA'!H198</f>
        <v>0.10448933170959042</v>
      </c>
      <c r="F165" s="146">
        <f>'RAW DATA'!D198/'RAW DATA'!E198</f>
        <v>0.60088314888953953</v>
      </c>
      <c r="G165" s="146">
        <f>'RAW DATA'!C198/'RAW DATA'!F198</f>
        <v>5.1558849811126493</v>
      </c>
      <c r="H165" s="146">
        <f>('RAW DATA'!I198-'RAW DATA'!I197)/'RAW DATA'!I197</f>
        <v>3.5575464213730826E-2</v>
      </c>
      <c r="I165" s="146">
        <f>LN('RAW DATA'!E198)</f>
        <v>31.118726016590212</v>
      </c>
      <c r="J165" s="146">
        <f>'RAW DATA'!K198/'RAW DATA'!J198</f>
        <v>0.14103668575642431</v>
      </c>
      <c r="K165" s="146">
        <f>LN('RAW DATA'!O198)</f>
        <v>3.5263605246161616</v>
      </c>
      <c r="L165" s="171">
        <f>'RAW DATA'!M198/'RAW DATA'!E198</f>
        <v>6.2350329604113639E-3</v>
      </c>
    </row>
    <row r="166" spans="1:12" ht="12.75" x14ac:dyDescent="0.2">
      <c r="A166" s="93" t="s">
        <v>47</v>
      </c>
      <c r="B166" s="44">
        <v>2024</v>
      </c>
      <c r="C166" s="146">
        <f>'RAW DATA'!G199/'RAW DATA'!H199</f>
        <v>0.4295969992153913</v>
      </c>
      <c r="D166" s="146">
        <f>'RAW DATA'!G199/'RAW DATA'!E199</f>
        <v>0.30050216910861449</v>
      </c>
      <c r="E166" s="146">
        <f>'RAW DATA'!L199/'RAW DATA'!H199</f>
        <v>9.7878429939066383E-2</v>
      </c>
      <c r="F166" s="146">
        <f>'RAW DATA'!D199/'RAW DATA'!E199</f>
        <v>0.58103063161411184</v>
      </c>
      <c r="G166" s="146">
        <f>'RAW DATA'!C199/'RAW DATA'!F199</f>
        <v>4.7688800952936177</v>
      </c>
      <c r="H166" s="146">
        <f>('RAW DATA'!I199-'RAW DATA'!I198)/'RAW DATA'!I198</f>
        <v>7.5860849552298715E-2</v>
      </c>
      <c r="I166" s="146">
        <f>LN('RAW DATA'!E199)</f>
        <v>31.196915798601811</v>
      </c>
      <c r="J166" s="146">
        <f>'RAW DATA'!K199/'RAW DATA'!J199</f>
        <v>0.15378547125222888</v>
      </c>
      <c r="K166" s="146">
        <f>LN('RAW DATA'!O199)</f>
        <v>3.5553480614894135</v>
      </c>
      <c r="L166" s="171">
        <f>'RAW DATA'!M199/'RAW DATA'!E199</f>
        <v>5.9201266265341062E-3</v>
      </c>
    </row>
    <row r="167" spans="1:12" ht="12.75" x14ac:dyDescent="0.2">
      <c r="A167" s="93" t="s">
        <v>48</v>
      </c>
      <c r="B167" s="27">
        <v>2020</v>
      </c>
      <c r="C167" s="146">
        <f>'RAW DATA'!G201/'RAW DATA'!H201</f>
        <v>0.35854527617805043</v>
      </c>
      <c r="D167" s="146">
        <f>'RAW DATA'!G201/'RAW DATA'!E201</f>
        <v>0.26391853290803363</v>
      </c>
      <c r="E167" s="146">
        <f>'RAW DATA'!L201/'RAW DATA'!H201</f>
        <v>-8.1145891890570934E-2</v>
      </c>
      <c r="F167" s="146">
        <f>'RAW DATA'!D201/'RAW DATA'!E201</f>
        <v>0.86359732577525561</v>
      </c>
      <c r="G167" s="146">
        <f>'RAW DATA'!C201/'RAW DATA'!F201</f>
        <v>2.0750938174921574</v>
      </c>
      <c r="H167" s="146">
        <f>('RAW DATA'!I201-'RAW DATA'!I200)/'RAW DATA'!I200</f>
        <v>-0.7317958146893877</v>
      </c>
      <c r="I167" s="146">
        <f>LN('RAW DATA'!E201)</f>
        <v>27.357170763787391</v>
      </c>
      <c r="J167" s="146">
        <f>'RAW DATA'!K201/'RAW DATA'!J201</f>
        <v>-4.8325631353615145E-2</v>
      </c>
      <c r="K167" s="146">
        <f>LN('RAW DATA'!O201)</f>
        <v>3.1354942159291497</v>
      </c>
      <c r="L167" s="171">
        <f>'RAW DATA'!M201/'RAW DATA'!E201</f>
        <v>2.3839148463155147E-2</v>
      </c>
    </row>
    <row r="168" spans="1:12" ht="12.75" x14ac:dyDescent="0.2">
      <c r="A168" s="93" t="s">
        <v>48</v>
      </c>
      <c r="B168" s="19">
        <v>2021</v>
      </c>
      <c r="C168" s="146">
        <f>'RAW DATA'!G202/'RAW DATA'!H202</f>
        <v>0.38650687649334997</v>
      </c>
      <c r="D168" s="146">
        <f>'RAW DATA'!G202/'RAW DATA'!E202</f>
        <v>0.27876304333295082</v>
      </c>
      <c r="E168" s="146">
        <f>'RAW DATA'!L202/'RAW DATA'!H202</f>
        <v>-4.2614954744810751E-2</v>
      </c>
      <c r="F168" s="146">
        <f>'RAW DATA'!D202/'RAW DATA'!E202</f>
        <v>0.87682768070190031</v>
      </c>
      <c r="G168" s="146">
        <f>'RAW DATA'!C202/'RAW DATA'!F202</f>
        <v>2.7923384019734367</v>
      </c>
      <c r="H168" s="146">
        <f>('RAW DATA'!I202-'RAW DATA'!I201)/'RAW DATA'!I201</f>
        <v>0.75930237566470382</v>
      </c>
      <c r="I168" s="146">
        <f>LN('RAW DATA'!E202)</f>
        <v>27.371079754636529</v>
      </c>
      <c r="J168" s="146">
        <f>'RAW DATA'!K202/'RAW DATA'!J202</f>
        <v>-0.1018191354770647</v>
      </c>
      <c r="K168" s="146">
        <f>LN('RAW DATA'!O202)</f>
        <v>3.1780538303479458</v>
      </c>
      <c r="L168" s="171">
        <f>'RAW DATA'!M202/'RAW DATA'!E202</f>
        <v>2.4599035965769508E-2</v>
      </c>
    </row>
    <row r="169" spans="1:12" ht="12.75" x14ac:dyDescent="0.2">
      <c r="A169" s="93" t="s">
        <v>48</v>
      </c>
      <c r="B169" s="19">
        <v>2022</v>
      </c>
      <c r="C169" s="146">
        <f>'RAW DATA'!G203/'RAW DATA'!H203</f>
        <v>0.38356070635254869</v>
      </c>
      <c r="D169" s="146">
        <f>'RAW DATA'!G203/'RAW DATA'!E203</f>
        <v>0.27722723303101138</v>
      </c>
      <c r="E169" s="146">
        <f>'RAW DATA'!L203/'RAW DATA'!H203</f>
        <v>-7.6702858186975115E-2</v>
      </c>
      <c r="F169" s="146">
        <f>'RAW DATA'!D203/'RAW DATA'!E203</f>
        <v>0.88309848897747256</v>
      </c>
      <c r="G169" s="146">
        <f>'RAW DATA'!C203/'RAW DATA'!F203</f>
        <v>2.010434465436449</v>
      </c>
      <c r="H169" s="146">
        <f>('RAW DATA'!I203-'RAW DATA'!I202)/'RAW DATA'!I202</f>
        <v>1.6023893161670746</v>
      </c>
      <c r="I169" s="146">
        <f>LN('RAW DATA'!E203)</f>
        <v>27.299187569438697</v>
      </c>
      <c r="J169" s="146">
        <f>'RAW DATA'!K203/'RAW DATA'!J203</f>
        <v>-0.12230048784229146</v>
      </c>
      <c r="K169" s="146">
        <f>LN('RAW DATA'!O203)</f>
        <v>3.2188758248682006</v>
      </c>
      <c r="L169" s="171">
        <f>'RAW DATA'!M203/'RAW DATA'!E203</f>
        <v>2.8641802564853398E-2</v>
      </c>
    </row>
    <row r="170" spans="1:12" ht="12.75" x14ac:dyDescent="0.2">
      <c r="A170" s="93" t="s">
        <v>48</v>
      </c>
      <c r="B170" s="19">
        <v>2023</v>
      </c>
      <c r="C170" s="146">
        <f>'RAW DATA'!G204/'RAW DATA'!H204</f>
        <v>0.4291897091502106</v>
      </c>
      <c r="D170" s="146">
        <f>'RAW DATA'!G204/'RAW DATA'!E204</f>
        <v>0.30030282642141665</v>
      </c>
      <c r="E170" s="146">
        <f>'RAW DATA'!L204/'RAW DATA'!H204</f>
        <v>-4.1559919376211084E-2</v>
      </c>
      <c r="F170" s="146">
        <f>'RAW DATA'!D204/'RAW DATA'!E204</f>
        <v>0.77856849369883019</v>
      </c>
      <c r="G170" s="146">
        <f>'RAW DATA'!C204/'RAW DATA'!F204</f>
        <v>2.3688138484423154</v>
      </c>
      <c r="H170" s="146">
        <f>('RAW DATA'!I204-'RAW DATA'!I203)/'RAW DATA'!I203</f>
        <v>0.54975463412729764</v>
      </c>
      <c r="I170" s="146">
        <f>LN('RAW DATA'!E204)</f>
        <v>27.291455977952264</v>
      </c>
      <c r="J170" s="146">
        <f>'RAW DATA'!K204/'RAW DATA'!J204</f>
        <v>-0.26150017765534939</v>
      </c>
      <c r="K170" s="146">
        <f>LN('RAW DATA'!O204)</f>
        <v>3.2580965380214821</v>
      </c>
      <c r="L170" s="171">
        <f>'RAW DATA'!M204/'RAW DATA'!E204</f>
        <v>2.916881477245295E-2</v>
      </c>
    </row>
    <row r="171" spans="1:12" ht="17.25" customHeight="1" x14ac:dyDescent="0.2">
      <c r="A171" s="93" t="s">
        <v>48</v>
      </c>
      <c r="B171" s="23">
        <v>2024</v>
      </c>
      <c r="C171" s="146">
        <f>'RAW DATA'!G205/'RAW DATA'!H205</f>
        <v>0.61707348299822207</v>
      </c>
      <c r="D171" s="146">
        <f>'RAW DATA'!G205/'RAW DATA'!E205</f>
        <v>0.3815989127804531</v>
      </c>
      <c r="E171" s="146">
        <f>'RAW DATA'!L205/'RAW DATA'!H205</f>
        <v>-5.9623158994245813E-2</v>
      </c>
      <c r="F171" s="146">
        <f>'RAW DATA'!D205/'RAW DATA'!E205</f>
        <v>0.67777379620270983</v>
      </c>
      <c r="G171" s="146">
        <f>'RAW DATA'!C205/'RAW DATA'!F205</f>
        <v>1.4933237011384084</v>
      </c>
      <c r="H171" s="146">
        <f>('RAW DATA'!I205-'RAW DATA'!I204)/'RAW DATA'!I204</f>
        <v>-0.11002975665057911</v>
      </c>
      <c r="I171" s="146">
        <f>LN('RAW DATA'!E205)</f>
        <v>27.356238937268067</v>
      </c>
      <c r="J171" s="146">
        <f>'RAW DATA'!K205/'RAW DATA'!J205</f>
        <v>-0.31302945562879619</v>
      </c>
      <c r="K171" s="146">
        <f>LN('RAW DATA'!O205)</f>
        <v>3.2958368660043291</v>
      </c>
      <c r="L171" s="171">
        <f>'RAW DATA'!M205/'RAW DATA'!E205</f>
        <v>2.7293830917638366E-2</v>
      </c>
    </row>
    <row r="172" spans="1:12" ht="17.25" customHeight="1" x14ac:dyDescent="0.2">
      <c r="A172" s="93" t="s">
        <v>49</v>
      </c>
      <c r="B172" s="27">
        <v>2020</v>
      </c>
      <c r="C172" s="146">
        <f>'RAW DATA'!G207/'RAW DATA'!H207</f>
        <v>8.5655799940849889E-2</v>
      </c>
      <c r="D172" s="146">
        <f>'RAW DATA'!G207/'RAW DATA'!E207</f>
        <v>7.8897750047037654E-2</v>
      </c>
      <c r="E172" s="146">
        <f>'RAW DATA'!L207/'RAW DATA'!H207</f>
        <v>8.62688843525862E-2</v>
      </c>
      <c r="F172" s="146">
        <f>'RAW DATA'!D207/'RAW DATA'!E207</f>
        <v>0.89650690336552219</v>
      </c>
      <c r="G172" s="146">
        <f>'RAW DATA'!C207/'RAW DATA'!F207</f>
        <v>2.7468150615077986</v>
      </c>
      <c r="H172" s="146">
        <f>('RAW DATA'!I207-'RAW DATA'!I206)/'RAW DATA'!I206</f>
        <v>3.3320793487273208E-3</v>
      </c>
      <c r="I172" s="146">
        <f>LN('RAW DATA'!E207)</f>
        <v>28.719940503749257</v>
      </c>
      <c r="J172" s="146">
        <f>'RAW DATA'!K207/'RAW DATA'!J207</f>
        <v>0.16967194745315603</v>
      </c>
      <c r="K172" s="146">
        <f>LN('RAW DATA'!O207)</f>
        <v>3.4011973816621555</v>
      </c>
      <c r="L172" s="171">
        <f>'RAW DATA'!M207/'RAW DATA'!E207</f>
        <v>1.2731787642428489E-3</v>
      </c>
    </row>
    <row r="173" spans="1:12" ht="17.25" customHeight="1" x14ac:dyDescent="0.2">
      <c r="A173" s="93" t="s">
        <v>49</v>
      </c>
      <c r="B173" s="42">
        <v>2021</v>
      </c>
      <c r="C173" s="146">
        <f>'RAW DATA'!G208/'RAW DATA'!H208</f>
        <v>8.8283434437667507E-2</v>
      </c>
      <c r="D173" s="146">
        <f>'RAW DATA'!G208/'RAW DATA'!E208</f>
        <v>8.1121729545837379E-2</v>
      </c>
      <c r="E173" s="146">
        <f>'RAW DATA'!L208/'RAW DATA'!H208</f>
        <v>6.7410897867911754E-2</v>
      </c>
      <c r="F173" s="146">
        <f>'RAW DATA'!D208/'RAW DATA'!E208</f>
        <v>0.85320704244354617</v>
      </c>
      <c r="G173" s="146">
        <f>'RAW DATA'!C208/'RAW DATA'!F208</f>
        <v>3.1573869223933775</v>
      </c>
      <c r="H173" s="146">
        <f>('RAW DATA'!I208-'RAW DATA'!I207)/'RAW DATA'!I207</f>
        <v>3.2025456943998047E-2</v>
      </c>
      <c r="I173" s="146">
        <f>LN('RAW DATA'!E208)</f>
        <v>28.781942878731869</v>
      </c>
      <c r="J173" s="146">
        <f>'RAW DATA'!K208/'RAW DATA'!J208</f>
        <v>0.21064572236026766</v>
      </c>
      <c r="K173" s="146">
        <f>LN('RAW DATA'!O208)</f>
        <v>3.4339872044851463</v>
      </c>
      <c r="L173" s="171">
        <f>'RAW DATA'!M208/'RAW DATA'!E208</f>
        <v>1.2042358803831567E-3</v>
      </c>
    </row>
    <row r="174" spans="1:12" ht="17.25" customHeight="1" x14ac:dyDescent="0.2">
      <c r="A174" s="93" t="s">
        <v>49</v>
      </c>
      <c r="B174" s="42">
        <v>2022</v>
      </c>
      <c r="C174" s="146">
        <f>'RAW DATA'!G209/'RAW DATA'!H209</f>
        <v>0.13954093503958165</v>
      </c>
      <c r="D174" s="146">
        <f>'RAW DATA'!G209/'RAW DATA'!E209</f>
        <v>0.12245363966212827</v>
      </c>
      <c r="E174" s="146">
        <f>'RAW DATA'!L209/'RAW DATA'!H209</f>
        <v>9.1106436018622783E-2</v>
      </c>
      <c r="F174" s="146">
        <f>'RAW DATA'!D209/'RAW DATA'!E209</f>
        <v>0.79382621800271269</v>
      </c>
      <c r="G174" s="146">
        <f>'RAW DATA'!C209/'RAW DATA'!F209</f>
        <v>2.63245566891056</v>
      </c>
      <c r="H174" s="146">
        <f>('RAW DATA'!I209-'RAW DATA'!I208)/'RAW DATA'!I208</f>
        <v>0.23195802930750328</v>
      </c>
      <c r="I174" s="146">
        <f>LN('RAW DATA'!E209)</f>
        <v>28.851060460651492</v>
      </c>
      <c r="J174" s="146">
        <f>'RAW DATA'!K209/'RAW DATA'!J209</f>
        <v>0.19093173756625226</v>
      </c>
      <c r="K174" s="146">
        <f>LN('RAW DATA'!O209)</f>
        <v>3.4657359027997265</v>
      </c>
      <c r="L174" s="171">
        <f>'RAW DATA'!M209/'RAW DATA'!E209</f>
        <v>1.5081909717610314E-3</v>
      </c>
    </row>
    <row r="175" spans="1:12" ht="17.25" customHeight="1" x14ac:dyDescent="0.2">
      <c r="A175" s="93" t="s">
        <v>49</v>
      </c>
      <c r="B175" s="42">
        <v>2023</v>
      </c>
      <c r="C175" s="146">
        <f>'RAW DATA'!G210/'RAW DATA'!H210</f>
        <v>0.19240832077048065</v>
      </c>
      <c r="D175" s="146">
        <f>'RAW DATA'!G210/'RAW DATA'!E210</f>
        <v>0.16136110208133655</v>
      </c>
      <c r="E175" s="146">
        <f>'RAW DATA'!L210/'RAW DATA'!H210</f>
        <v>0.10495028282640412</v>
      </c>
      <c r="F175" s="146">
        <f>'RAW DATA'!D210/'RAW DATA'!E210</f>
        <v>0.76279784132894768</v>
      </c>
      <c r="G175" s="146">
        <f>'RAW DATA'!C210/'RAW DATA'!F210</f>
        <v>2.0555619849997786</v>
      </c>
      <c r="H175" s="146">
        <f>('RAW DATA'!I210-'RAW DATA'!I209)/'RAW DATA'!I209</f>
        <v>4.6686926663965407E-2</v>
      </c>
      <c r="I175" s="146">
        <f>LN('RAW DATA'!E210)</f>
        <v>28.866589396941023</v>
      </c>
      <c r="J175" s="146">
        <f>'RAW DATA'!K210/'RAW DATA'!J210</f>
        <v>0.17561021744078792</v>
      </c>
      <c r="K175" s="146">
        <f>LN('RAW DATA'!O210)</f>
        <v>3.4965075614664802</v>
      </c>
      <c r="L175" s="171">
        <f>'RAW DATA'!M210/'RAW DATA'!E210</f>
        <v>4.4604136730547481E-3</v>
      </c>
    </row>
    <row r="176" spans="1:12" ht="17.25" customHeight="1" x14ac:dyDescent="0.2">
      <c r="A176" s="93" t="s">
        <v>49</v>
      </c>
      <c r="B176" s="44">
        <v>2024</v>
      </c>
      <c r="C176" s="146">
        <f>'RAW DATA'!G211/'RAW DATA'!H211</f>
        <v>0.13431705205103883</v>
      </c>
      <c r="D176" s="146">
        <f>'RAW DATA'!G211/'RAW DATA'!E211</f>
        <v>0.11841226560790097</v>
      </c>
      <c r="E176" s="146">
        <f>'RAW DATA'!L211/'RAW DATA'!H211</f>
        <v>9.4727921982950367E-2</v>
      </c>
      <c r="F176" s="146">
        <f>'RAW DATA'!D211/'RAW DATA'!E211</f>
        <v>0.73038137463050801</v>
      </c>
      <c r="G176" s="146">
        <f>'RAW DATA'!C211/'RAW DATA'!F211</f>
        <v>3.7301852349638787</v>
      </c>
      <c r="H176" s="146">
        <f>('RAW DATA'!I211-'RAW DATA'!I210)/'RAW DATA'!I210</f>
        <v>-4.967971043017258E-3</v>
      </c>
      <c r="I176" s="146">
        <f>LN('RAW DATA'!E211)</f>
        <v>28.868546490555417</v>
      </c>
      <c r="J176" s="146">
        <f>'RAW DATA'!K211/'RAW DATA'!J211</f>
        <v>0.18387856064100325</v>
      </c>
      <c r="K176" s="146">
        <f>LN('RAW DATA'!O211)</f>
        <v>3.5263605246161616</v>
      </c>
      <c r="L176" s="171">
        <f>'RAW DATA'!M211/'RAW DATA'!E211</f>
        <v>3.0244788940411403E-3</v>
      </c>
    </row>
    <row r="177" spans="1:12" ht="12.75" x14ac:dyDescent="0.2">
      <c r="A177" s="117" t="s">
        <v>50</v>
      </c>
      <c r="B177" s="37">
        <v>2020</v>
      </c>
      <c r="C177" s="146">
        <f>'RAW DATA'!G213/'RAW DATA'!H213</f>
        <v>0.20917829691631804</v>
      </c>
      <c r="D177" s="146">
        <f>'RAW DATA'!G213/'RAW DATA'!E213</f>
        <v>0.17299210335627976</v>
      </c>
      <c r="E177" s="146">
        <f>'RAW DATA'!L213/'RAW DATA'!H213</f>
        <v>7.0644837526203288E-3</v>
      </c>
      <c r="F177" s="146">
        <f>'RAW DATA'!D213/'RAW DATA'!E213</f>
        <v>0.71264993498458518</v>
      </c>
      <c r="G177" s="146">
        <f>'RAW DATA'!C213/'RAW DATA'!F213</f>
        <v>2.5072890231460199</v>
      </c>
      <c r="H177" s="146">
        <f>('RAW DATA'!I213-'RAW DATA'!I212)/'RAW DATA'!I212</f>
        <v>-0.32111255982070036</v>
      </c>
      <c r="I177" s="146">
        <f>LN('RAW DATA'!E213)</f>
        <v>28.794768905013196</v>
      </c>
      <c r="J177" s="146">
        <f>'RAW DATA'!K213/'RAW DATA'!J213</f>
        <v>0.17572656784910681</v>
      </c>
      <c r="K177" s="146">
        <f>LN('RAW DATA'!O213)</f>
        <v>3.2188758248682006</v>
      </c>
      <c r="L177" s="171">
        <f>'RAW DATA'!M213/'RAW DATA'!E213</f>
        <v>6.233075774824591E-3</v>
      </c>
    </row>
    <row r="178" spans="1:12" ht="12.75" x14ac:dyDescent="0.2">
      <c r="A178" s="117" t="s">
        <v>50</v>
      </c>
      <c r="B178" s="42">
        <v>2021</v>
      </c>
      <c r="C178" s="146">
        <f>'RAW DATA'!G214/'RAW DATA'!H214</f>
        <v>0.18852029262637149</v>
      </c>
      <c r="D178" s="146">
        <f>'RAW DATA'!G214/'RAW DATA'!E214</f>
        <v>0.15861764733505948</v>
      </c>
      <c r="E178" s="146">
        <f>'RAW DATA'!L214/'RAW DATA'!H214</f>
        <v>4.2326532189538815E-2</v>
      </c>
      <c r="F178" s="146">
        <f>'RAW DATA'!D214/'RAW DATA'!E214</f>
        <v>0.68844337143526613</v>
      </c>
      <c r="G178" s="146">
        <f>'RAW DATA'!C214/'RAW DATA'!F214</f>
        <v>2.3757229650107496</v>
      </c>
      <c r="H178" s="146">
        <f>('RAW DATA'!I214-'RAW DATA'!I213)/'RAW DATA'!I213</f>
        <v>0.46699053711441169</v>
      </c>
      <c r="I178" s="146">
        <f>LN('RAW DATA'!E214)</f>
        <v>28.826007177116274</v>
      </c>
      <c r="J178" s="146">
        <f>'RAW DATA'!K214/'RAW DATA'!J214</f>
        <v>9.7698507815128788E-2</v>
      </c>
      <c r="K178" s="146">
        <f>LN('RAW DATA'!O214)</f>
        <v>3.2580965380214821</v>
      </c>
      <c r="L178" s="171">
        <f>'RAW DATA'!M214/'RAW DATA'!E214</f>
        <v>3.5835416469199815E-3</v>
      </c>
    </row>
    <row r="179" spans="1:12" ht="12.75" x14ac:dyDescent="0.2">
      <c r="A179" s="117" t="s">
        <v>50</v>
      </c>
      <c r="B179" s="42">
        <v>2022</v>
      </c>
      <c r="C179" s="146">
        <f>'RAW DATA'!G215/'RAW DATA'!H215</f>
        <v>0.15678469342537335</v>
      </c>
      <c r="D179" s="146">
        <f>'RAW DATA'!G215/'RAW DATA'!E215</f>
        <v>0.13553489626588655</v>
      </c>
      <c r="E179" s="146">
        <f>'RAW DATA'!L215/'RAW DATA'!H215</f>
        <v>6.0756480683307267E-2</v>
      </c>
      <c r="F179" s="146">
        <f>'RAW DATA'!D215/'RAW DATA'!E215</f>
        <v>0.66892944376470054</v>
      </c>
      <c r="G179" s="146">
        <f>'RAW DATA'!C215/'RAW DATA'!F215</f>
        <v>4.5014618301074618</v>
      </c>
      <c r="H179" s="146">
        <f>('RAW DATA'!I215-'RAW DATA'!I214)/'RAW DATA'!I214</f>
        <v>-1.145371674227203E-3</v>
      </c>
      <c r="I179" s="146">
        <f>LN('RAW DATA'!E215)</f>
        <v>28.861619825026526</v>
      </c>
      <c r="J179" s="146">
        <f>'RAW DATA'!K215/'RAW DATA'!J215</f>
        <v>6.7870427724350771E-2</v>
      </c>
      <c r="K179" s="146">
        <f>LN('RAW DATA'!O215)</f>
        <v>3.2958368660043291</v>
      </c>
      <c r="L179" s="171">
        <f>'RAW DATA'!M215/'RAW DATA'!E215</f>
        <v>3.4250058296124227E-3</v>
      </c>
    </row>
    <row r="180" spans="1:12" ht="12.75" x14ac:dyDescent="0.2">
      <c r="A180" s="117" t="s">
        <v>50</v>
      </c>
      <c r="B180" s="42">
        <v>2023</v>
      </c>
      <c r="C180" s="146">
        <f>'RAW DATA'!G216/'RAW DATA'!H216</f>
        <v>0.1557235182782078</v>
      </c>
      <c r="D180" s="146">
        <f>'RAW DATA'!G216/'RAW DATA'!E216</f>
        <v>0.13474115202760956</v>
      </c>
      <c r="E180" s="146">
        <f>'RAW DATA'!L216/'RAW DATA'!H216</f>
        <v>3.181781537636693E-2</v>
      </c>
      <c r="F180" s="146">
        <f>'RAW DATA'!D216/'RAW DATA'!E216</f>
        <v>0.64897290238906857</v>
      </c>
      <c r="G180" s="146">
        <f>'RAW DATA'!C216/'RAW DATA'!F216</f>
        <v>5.0583270548878074</v>
      </c>
      <c r="H180" s="146">
        <f>('RAW DATA'!I216-'RAW DATA'!I215)/'RAW DATA'!I215</f>
        <v>-0.12341893339310481</v>
      </c>
      <c r="I180" s="146">
        <f>LN('RAW DATA'!E216)</f>
        <v>28.893618092810332</v>
      </c>
      <c r="J180" s="146">
        <f>'RAW DATA'!K216/'RAW DATA'!J216</f>
        <v>9.8677860015294785E-2</v>
      </c>
      <c r="K180" s="146">
        <f>LN('RAW DATA'!O216)</f>
        <v>3.3322045101752038</v>
      </c>
      <c r="L180" s="171">
        <f>'RAW DATA'!M216/'RAW DATA'!E216</f>
        <v>3.0581287697794435E-3</v>
      </c>
    </row>
    <row r="181" spans="1:12" ht="12.75" x14ac:dyDescent="0.2">
      <c r="A181" s="117" t="s">
        <v>50</v>
      </c>
      <c r="B181" s="44">
        <v>2024</v>
      </c>
      <c r="C181" s="146">
        <f>'RAW DATA'!G217/'RAW DATA'!H217</f>
        <v>7.8369784306152102E-2</v>
      </c>
      <c r="D181" s="146">
        <f>'RAW DATA'!G217/'RAW DATA'!E217</f>
        <v>7.2674313993856043E-2</v>
      </c>
      <c r="E181" s="146">
        <f>'RAW DATA'!L217/'RAW DATA'!H217</f>
        <v>5.0644902893338978E-2</v>
      </c>
      <c r="F181" s="146">
        <f>'RAW DATA'!D217/'RAW DATA'!E217</f>
        <v>0.67248569850588347</v>
      </c>
      <c r="G181" s="146">
        <f>'RAW DATA'!C217/'RAW DATA'!F217</f>
        <v>6.9658983839826236</v>
      </c>
      <c r="H181" s="146">
        <f>('RAW DATA'!I217-'RAW DATA'!I216)/'RAW DATA'!I216</f>
        <v>0.39788144940137443</v>
      </c>
      <c r="I181" s="146">
        <f>LN('RAW DATA'!E217)</f>
        <v>28.872946151026461</v>
      </c>
      <c r="J181" s="146">
        <f>'RAW DATA'!K217/'RAW DATA'!J217</f>
        <v>8.8911680827020806E-2</v>
      </c>
      <c r="K181" s="146">
        <f>LN('RAW DATA'!O217)</f>
        <v>3.3672958299864741</v>
      </c>
      <c r="L181" s="171">
        <f>'RAW DATA'!M217/'RAW DATA'!E217</f>
        <v>3.2762096195054018E-3</v>
      </c>
    </row>
    <row r="182" spans="1:12" ht="12.75" x14ac:dyDescent="0.2">
      <c r="A182" s="117" t="s">
        <v>51</v>
      </c>
      <c r="B182" s="37">
        <v>2020</v>
      </c>
      <c r="C182" s="146">
        <f>'RAW DATA'!G219/'RAW DATA'!H219</f>
        <v>1.7430539924715491</v>
      </c>
      <c r="D182" s="146">
        <f>'RAW DATA'!G219/'RAW DATA'!E219</f>
        <v>0.6354428302379207</v>
      </c>
      <c r="E182" s="146">
        <f>'RAW DATA'!L219/'RAW DATA'!H219</f>
        <v>2.7065548408068147E-2</v>
      </c>
      <c r="F182" s="146">
        <f>'RAW DATA'!D219/'RAW DATA'!E219</f>
        <v>0.52296513921320398</v>
      </c>
      <c r="G182" s="146">
        <f>'RAW DATA'!C219/'RAW DATA'!F219</f>
        <v>1.4222630659776538</v>
      </c>
      <c r="H182" s="146">
        <f>('RAW DATA'!I219-'RAW DATA'!I218)/'RAW DATA'!I218</f>
        <v>-0.15343303323316915</v>
      </c>
      <c r="I182" s="146">
        <f>LN('RAW DATA'!E219)</f>
        <v>30.846793499059299</v>
      </c>
      <c r="J182" s="146">
        <f>'RAW DATA'!K219/'RAW DATA'!J219</f>
        <v>0.15194306926075729</v>
      </c>
      <c r="K182" s="146">
        <f>LN('RAW DATA'!O219)</f>
        <v>3.4011973816621555</v>
      </c>
      <c r="L182" s="171">
        <f>'RAW DATA'!M219/'RAW DATA'!E219</f>
        <v>2.9418319718624774E-3</v>
      </c>
    </row>
    <row r="183" spans="1:12" ht="12.75" x14ac:dyDescent="0.2">
      <c r="A183" s="117" t="s">
        <v>51</v>
      </c>
      <c r="B183" s="42">
        <v>2021</v>
      </c>
      <c r="C183" s="146">
        <f>'RAW DATA'!G220/'RAW DATA'!H220</f>
        <v>1.3196081048992034</v>
      </c>
      <c r="D183" s="146">
        <f>'RAW DATA'!G220/'RAW DATA'!E220</f>
        <v>0.56889269446510482</v>
      </c>
      <c r="E183" s="146">
        <f>'RAW DATA'!L220/'RAW DATA'!H220</f>
        <v>4.8947918739075578E-2</v>
      </c>
      <c r="F183" s="146">
        <f>'RAW DATA'!D220/'RAW DATA'!E220</f>
        <v>0.4997820604319741</v>
      </c>
      <c r="G183" s="146">
        <f>'RAW DATA'!C220/'RAW DATA'!F220</f>
        <v>1.8698483706753852</v>
      </c>
      <c r="H183" s="146">
        <f>('RAW DATA'!I220-'RAW DATA'!I219)/'RAW DATA'!I219</f>
        <v>0.10694436948755849</v>
      </c>
      <c r="I183" s="146">
        <f>LN('RAW DATA'!E220)</f>
        <v>30.891028007984325</v>
      </c>
      <c r="J183" s="146">
        <f>'RAW DATA'!K220/'RAW DATA'!J220</f>
        <v>0.13238950276349498</v>
      </c>
      <c r="K183" s="146">
        <f>LN('RAW DATA'!O220)</f>
        <v>3.4339872044851463</v>
      </c>
      <c r="L183" s="171">
        <f>'RAW DATA'!M220/'RAW DATA'!E220</f>
        <v>2.4248572750638344E-3</v>
      </c>
    </row>
    <row r="184" spans="1:12" ht="12.75" x14ac:dyDescent="0.2">
      <c r="A184" s="117" t="s">
        <v>51</v>
      </c>
      <c r="B184" s="42">
        <v>2022</v>
      </c>
      <c r="C184" s="146">
        <f>'RAW DATA'!G221/'RAW DATA'!H221</f>
        <v>1.4198703707498632</v>
      </c>
      <c r="D184" s="146">
        <f>'RAW DATA'!G221/'RAW DATA'!E221</f>
        <v>0.58675472368789627</v>
      </c>
      <c r="E184" s="146">
        <f>'RAW DATA'!L221/'RAW DATA'!H221</f>
        <v>6.5680071446582625E-2</v>
      </c>
      <c r="F184" s="146">
        <f>'RAW DATA'!D221/'RAW DATA'!E221</f>
        <v>0.49740331103926272</v>
      </c>
      <c r="G184" s="146">
        <f>'RAW DATA'!C221/'RAW DATA'!F221</f>
        <v>1.5040740876926761</v>
      </c>
      <c r="H184" s="146">
        <f>('RAW DATA'!I221-'RAW DATA'!I220)/'RAW DATA'!I220</f>
        <v>2.7206544626032839E-2</v>
      </c>
      <c r="I184" s="146">
        <f>LN('RAW DATA'!E221)</f>
        <v>30.978591776845082</v>
      </c>
      <c r="J184" s="146">
        <f>'RAW DATA'!K221/'RAW DATA'!J221</f>
        <v>0.14405891820391586</v>
      </c>
      <c r="K184" s="146">
        <f>LN('RAW DATA'!O221)</f>
        <v>3.4657359027997265</v>
      </c>
      <c r="L184" s="171">
        <f>'RAW DATA'!M221/'RAW DATA'!E221</f>
        <v>2.321222332513204E-3</v>
      </c>
    </row>
    <row r="185" spans="1:12" ht="12.75" x14ac:dyDescent="0.2">
      <c r="A185" s="117" t="s">
        <v>51</v>
      </c>
      <c r="B185" s="42">
        <v>2023</v>
      </c>
      <c r="C185" s="146">
        <f>'RAW DATA'!G222/'RAW DATA'!H222</f>
        <v>1.5333835926595427</v>
      </c>
      <c r="D185" s="146">
        <f>'RAW DATA'!G222/'RAW DATA'!E222</f>
        <v>0.60527098900557685</v>
      </c>
      <c r="E185" s="146">
        <f>'RAW DATA'!L222/'RAW DATA'!H222</f>
        <v>8.5969819383510934E-2</v>
      </c>
      <c r="F185" s="146">
        <f>'RAW DATA'!D222/'RAW DATA'!E222</f>
        <v>0.50070452177694258</v>
      </c>
      <c r="G185" s="146">
        <f>'RAW DATA'!C222/'RAW DATA'!F222</f>
        <v>1.3146371664746677</v>
      </c>
      <c r="H185" s="146">
        <f>('RAW DATA'!I222-'RAW DATA'!I221)/'RAW DATA'!I221</f>
        <v>0.16424573237196199</v>
      </c>
      <c r="I185" s="146">
        <f>LN('RAW DATA'!E222)</f>
        <v>31.070425077646345</v>
      </c>
      <c r="J185" s="146">
        <f>'RAW DATA'!K222/'RAW DATA'!J222</f>
        <v>0.15050297875410656</v>
      </c>
      <c r="K185" s="146">
        <f>LN('RAW DATA'!O222)</f>
        <v>3.4965075614664802</v>
      </c>
      <c r="L185" s="171">
        <f>'RAW DATA'!M222/'RAW DATA'!E222</f>
        <v>2.2320464191041083E-3</v>
      </c>
    </row>
    <row r="186" spans="1:12" ht="12.75" x14ac:dyDescent="0.2">
      <c r="A186" s="117" t="s">
        <v>51</v>
      </c>
      <c r="B186" s="44">
        <v>2024</v>
      </c>
      <c r="C186" s="146">
        <f>'RAW DATA'!G223/'RAW DATA'!H223</f>
        <v>1.4242930927937665</v>
      </c>
      <c r="D186" s="146">
        <f>'RAW DATA'!G223/'RAW DATA'!E223</f>
        <v>0.58750862139049553</v>
      </c>
      <c r="E186" s="146">
        <f>'RAW DATA'!L223/'RAW DATA'!H223</f>
        <v>0.13318025159470262</v>
      </c>
      <c r="F186" s="146">
        <f>'RAW DATA'!D223/'RAW DATA'!E223</f>
        <v>0.54064769065580309</v>
      </c>
      <c r="G186" s="146">
        <f>'RAW DATA'!C223/'RAW DATA'!F223</f>
        <v>1.1955067352042141</v>
      </c>
      <c r="H186" s="146">
        <f>('RAW DATA'!I223-'RAW DATA'!I222)/'RAW DATA'!I222</f>
        <v>0.59538989777056794</v>
      </c>
      <c r="I186" s="146">
        <f>LN('RAW DATA'!E223)</f>
        <v>31.14358396126481</v>
      </c>
      <c r="J186" s="146">
        <f>'RAW DATA'!K223/'RAW DATA'!J223</f>
        <v>0.16643127760197787</v>
      </c>
      <c r="K186" s="146">
        <f>LN('RAW DATA'!O223)</f>
        <v>3.5263605246161616</v>
      </c>
      <c r="L186" s="171">
        <f>'RAW DATA'!M223/'RAW DATA'!E223</f>
        <v>2.5260746175669998E-3</v>
      </c>
    </row>
    <row r="187" spans="1:12" ht="12.75" x14ac:dyDescent="0.2">
      <c r="A187" s="117" t="s">
        <v>52</v>
      </c>
      <c r="B187" s="37">
        <v>2020</v>
      </c>
      <c r="C187" s="146">
        <f>'RAW DATA'!G225/'RAW DATA'!H225</f>
        <v>4.3605686448743679E-2</v>
      </c>
      <c r="D187" s="146">
        <f>'RAW DATA'!G225/'RAW DATA'!E225</f>
        <v>4.1783680383276026E-2</v>
      </c>
      <c r="E187" s="146">
        <f>'RAW DATA'!L225/'RAW DATA'!H225</f>
        <v>1.2051527552279086E-2</v>
      </c>
      <c r="F187" s="146">
        <f>'RAW DATA'!D225/'RAW DATA'!E225</f>
        <v>0.98938968474363942</v>
      </c>
      <c r="G187" s="146">
        <f>'RAW DATA'!C225/'RAW DATA'!F225</f>
        <v>0.25714705393906218</v>
      </c>
      <c r="H187" s="146">
        <f>('RAW DATA'!I225-'RAW DATA'!I224)/'RAW DATA'!I224</f>
        <v>-0.60599302234914332</v>
      </c>
      <c r="I187" s="146">
        <f>LN('RAW DATA'!E225)</f>
        <v>27.714072343958236</v>
      </c>
      <c r="J187" s="146">
        <f>'RAW DATA'!K225/'RAW DATA'!J225</f>
        <v>-0.10643035065461284</v>
      </c>
      <c r="K187" s="146">
        <f>LN('RAW DATA'!O225)</f>
        <v>1.791759469228055</v>
      </c>
      <c r="L187" s="171">
        <f>'RAW DATA'!M225/'RAW DATA'!E225</f>
        <v>2.8026017731850927E-4</v>
      </c>
    </row>
    <row r="188" spans="1:12" ht="12.75" x14ac:dyDescent="0.2">
      <c r="A188" s="117" t="s">
        <v>52</v>
      </c>
      <c r="B188" s="42">
        <v>2021</v>
      </c>
      <c r="C188" s="146">
        <f>'RAW DATA'!G226/'RAW DATA'!H226</f>
        <v>2.1213908770982622E-2</v>
      </c>
      <c r="D188" s="146">
        <f>'RAW DATA'!G226/'RAW DATA'!E226</f>
        <v>2.0773227419623844E-2</v>
      </c>
      <c r="E188" s="146">
        <f>'RAW DATA'!L226/'RAW DATA'!H226</f>
        <v>2.0166014981877273E-2</v>
      </c>
      <c r="F188" s="146">
        <f>'RAW DATA'!D226/'RAW DATA'!E226</f>
        <v>0.96747508434645235</v>
      </c>
      <c r="G188" s="146">
        <f>'RAW DATA'!C226/'RAW DATA'!F226</f>
        <v>1.5991815187538803</v>
      </c>
      <c r="H188" s="146">
        <f>('RAW DATA'!I226-'RAW DATA'!I225)/'RAW DATA'!I225</f>
        <v>4.3602805828447408</v>
      </c>
      <c r="I188" s="146">
        <f>LN('RAW DATA'!E226)</f>
        <v>27.712815425089662</v>
      </c>
      <c r="J188" s="146">
        <f>'RAW DATA'!K226/'RAW DATA'!J226</f>
        <v>5.3127805451144532E-2</v>
      </c>
      <c r="K188" s="146">
        <f>LN('RAW DATA'!O226)</f>
        <v>1.9459101490553132</v>
      </c>
      <c r="L188" s="171">
        <f>'RAW DATA'!M226/'RAW DATA'!E226</f>
        <v>9.8928103997723463E-5</v>
      </c>
    </row>
    <row r="189" spans="1:12" ht="12.75" x14ac:dyDescent="0.2">
      <c r="A189" s="117" t="s">
        <v>52</v>
      </c>
      <c r="B189" s="42">
        <v>2022</v>
      </c>
      <c r="C189" s="146">
        <f>'RAW DATA'!G227/'RAW DATA'!H227</f>
        <v>1.9447408496899261E-2</v>
      </c>
      <c r="D189" s="146">
        <f>'RAW DATA'!G227/'RAW DATA'!E227</f>
        <v>1.9076421534655764E-2</v>
      </c>
      <c r="E189" s="146">
        <f>'RAW DATA'!L227/'RAW DATA'!H227</f>
        <v>-2.8977319885159338E-3</v>
      </c>
      <c r="F189" s="146">
        <f>'RAW DATA'!D227/'RAW DATA'!E227</f>
        <v>0.97251720543183973</v>
      </c>
      <c r="G189" s="146">
        <f>'RAW DATA'!C227/'RAW DATA'!F227</f>
        <v>1.4792805563399769</v>
      </c>
      <c r="H189" s="146">
        <f>('RAW DATA'!I227-'RAW DATA'!I226)/'RAW DATA'!I226</f>
        <v>-0.94295330728201032</v>
      </c>
      <c r="I189" s="146">
        <f>LN('RAW DATA'!E227)</f>
        <v>27.708212431991036</v>
      </c>
      <c r="J189" s="146">
        <f>'RAW DATA'!K227/'RAW DATA'!J227</f>
        <v>-1.8927033741862949E-2</v>
      </c>
      <c r="K189" s="146">
        <f>LN('RAW DATA'!O227)</f>
        <v>2.0794415416798357</v>
      </c>
      <c r="L189" s="171">
        <f>'RAW DATA'!M227/'RAW DATA'!E227</f>
        <v>2.4299959239910164E-6</v>
      </c>
    </row>
    <row r="190" spans="1:12" ht="12.75" x14ac:dyDescent="0.2">
      <c r="A190" s="117" t="s">
        <v>52</v>
      </c>
      <c r="B190" s="42">
        <v>2023</v>
      </c>
      <c r="C190" s="146">
        <f>'RAW DATA'!G228/'RAW DATA'!H228</f>
        <v>2.0090776629378974E-2</v>
      </c>
      <c r="D190" s="146">
        <f>'RAW DATA'!G228/'RAW DATA'!E228</f>
        <v>1.9695087035061377E-2</v>
      </c>
      <c r="E190" s="146">
        <f>'RAW DATA'!L228/'RAW DATA'!H228</f>
        <v>-2.4824738415314962E-3</v>
      </c>
      <c r="F190" s="146">
        <f>'RAW DATA'!D228/'RAW DATA'!E228</f>
        <v>0.97476170515805938</v>
      </c>
      <c r="G190" s="146">
        <f>'RAW DATA'!C228/'RAW DATA'!F228</f>
        <v>1.3209212371008414</v>
      </c>
      <c r="H190" s="146">
        <f>('RAW DATA'!I228-'RAW DATA'!I227)/'RAW DATA'!I227</f>
        <v>0.3</v>
      </c>
      <c r="I190" s="146">
        <f>LN('RAW DATA'!E228)</f>
        <v>27.706369284473563</v>
      </c>
      <c r="J190" s="146">
        <f>'RAW DATA'!K228/'RAW DATA'!J228</f>
        <v>-3.0156826053525133E-2</v>
      </c>
      <c r="K190" s="146">
        <f>LN('RAW DATA'!O228)</f>
        <v>2.1972245773362196</v>
      </c>
      <c r="L190" s="171">
        <f>'RAW DATA'!M228/'RAW DATA'!E228</f>
        <v>3.9044404374188073E-6</v>
      </c>
    </row>
    <row r="191" spans="1:12" ht="12.75" x14ac:dyDescent="0.2">
      <c r="A191" s="147" t="s">
        <v>52</v>
      </c>
      <c r="B191" s="44">
        <v>2024</v>
      </c>
      <c r="C191" s="146">
        <f>'RAW DATA'!G229/'RAW DATA'!H229</f>
        <v>2.0547686859107298E-2</v>
      </c>
      <c r="D191" s="146">
        <f>'RAW DATA'!G229/'RAW DATA'!E229</f>
        <v>2.0133980139963835E-2</v>
      </c>
      <c r="E191" s="146">
        <f>'RAW DATA'!L229/'RAW DATA'!H229</f>
        <v>-1.8902710889341237E-3</v>
      </c>
      <c r="F191" s="146">
        <f>'RAW DATA'!D229/'RAW DATA'!E229</f>
        <v>0.97634959503394458</v>
      </c>
      <c r="G191" s="146">
        <f>'RAW DATA'!C229/'RAW DATA'!F229</f>
        <v>1.2141417719553633</v>
      </c>
      <c r="H191" s="146">
        <f>('RAW DATA'!I229-'RAW DATA'!I228)/'RAW DATA'!I228</f>
        <v>8.115384615384616E-2</v>
      </c>
      <c r="I191" s="146">
        <f>LN('RAW DATA'!E229)</f>
        <v>27.704964898270504</v>
      </c>
      <c r="J191" s="146">
        <f>'RAW DATA'!K229/'RAW DATA'!J229</f>
        <v>-4.2500419551266412E-2</v>
      </c>
      <c r="K191" s="146">
        <f>LN('RAW DATA'!O229)</f>
        <v>2.3025850929940459</v>
      </c>
      <c r="L191" s="171">
        <f>'RAW DATA'!M229/'RAW DATA'!E229</f>
        <v>4.9593856423218892E-6</v>
      </c>
    </row>
    <row r="192" spans="1:12" ht="12.75" x14ac:dyDescent="0.2">
      <c r="A192" s="123" t="s">
        <v>53</v>
      </c>
      <c r="B192" s="37">
        <v>2020</v>
      </c>
      <c r="C192" s="146">
        <f>'RAW DATA'!G231/'RAW DATA'!H231</f>
        <v>1.0081780541884664</v>
      </c>
      <c r="D192" s="146">
        <f>'RAW DATA'!G231/'RAW DATA'!E231</f>
        <v>0.50203618752117363</v>
      </c>
      <c r="E192" s="146">
        <f>'RAW DATA'!L231/'RAW DATA'!H231</f>
        <v>4.6435647431739627E-2</v>
      </c>
      <c r="F192" s="146">
        <f>'RAW DATA'!D231/'RAW DATA'!E231</f>
        <v>0.17337554278952985</v>
      </c>
      <c r="G192" s="146">
        <f>'RAW DATA'!C231/'RAW DATA'!F231</f>
        <v>1.7867384142476339</v>
      </c>
      <c r="H192" s="146">
        <f>('RAW DATA'!I231-'RAW DATA'!I230)/'RAW DATA'!I230</f>
        <v>0.26015515872055461</v>
      </c>
      <c r="I192" s="146">
        <f>LN('RAW DATA'!E231)</f>
        <v>27.011613192115437</v>
      </c>
      <c r="J192" s="146">
        <f>'RAW DATA'!K231/'RAW DATA'!J231</f>
        <v>0.13269849092791655</v>
      </c>
      <c r="K192" s="146">
        <f>LN('RAW DATA'!O231)</f>
        <v>1.0986122886681098</v>
      </c>
      <c r="L192" s="171">
        <f>'RAW DATA'!M231/'RAW DATA'!E231</f>
        <v>1.8610625029268522E-3</v>
      </c>
    </row>
    <row r="193" spans="1:12" ht="12.75" x14ac:dyDescent="0.2">
      <c r="A193" s="123" t="s">
        <v>53</v>
      </c>
      <c r="B193" s="42">
        <v>2021</v>
      </c>
      <c r="C193" s="146">
        <f>'RAW DATA'!G232/'RAW DATA'!H232</f>
        <v>0.83337181232856694</v>
      </c>
      <c r="D193" s="146">
        <f>'RAW DATA'!G232/'RAW DATA'!E232</f>
        <v>0.45455690260127912</v>
      </c>
      <c r="E193" s="146">
        <f>'RAW DATA'!L232/'RAW DATA'!H232</f>
        <v>6.9031608151561646E-2</v>
      </c>
      <c r="F193" s="146">
        <f>'RAW DATA'!D232/'RAW DATA'!E232</f>
        <v>0.18235158473940113</v>
      </c>
      <c r="G193" s="146">
        <f>'RAW DATA'!C232/'RAW DATA'!F232</f>
        <v>1.9695755556884782</v>
      </c>
      <c r="H193" s="146">
        <f>('RAW DATA'!I232-'RAW DATA'!I231)/'RAW DATA'!I231</f>
        <v>-2.3573744310666726E-2</v>
      </c>
      <c r="I193" s="146">
        <f>LN('RAW DATA'!E232)</f>
        <v>26.988825838659245</v>
      </c>
      <c r="J193" s="146">
        <f>'RAW DATA'!K232/'RAW DATA'!J232</f>
        <v>8.9178315193641819E-2</v>
      </c>
      <c r="K193" s="146">
        <f>LN('RAW DATA'!O232)</f>
        <v>1.3862943611198906</v>
      </c>
      <c r="L193" s="171">
        <f>'RAW DATA'!M232/'RAW DATA'!E232</f>
        <v>1.6925679881206756E-3</v>
      </c>
    </row>
    <row r="194" spans="1:12" ht="12.75" x14ac:dyDescent="0.2">
      <c r="A194" s="123" t="s">
        <v>53</v>
      </c>
      <c r="B194" s="42">
        <v>2022</v>
      </c>
      <c r="C194" s="146">
        <f>'RAW DATA'!G233/'RAW DATA'!H233</f>
        <v>0.76089896022795878</v>
      </c>
      <c r="D194" s="146">
        <f>'RAW DATA'!G233/'RAW DATA'!E233</f>
        <v>0.43210824551197186</v>
      </c>
      <c r="E194" s="146">
        <f>'RAW DATA'!L233/'RAW DATA'!H233</f>
        <v>7.6083418509681325E-2</v>
      </c>
      <c r="F194" s="146">
        <f>'RAW DATA'!D233/'RAW DATA'!E233</f>
        <v>0.22387778074124787</v>
      </c>
      <c r="G194" s="146">
        <f>'RAW DATA'!C233/'RAW DATA'!F233</f>
        <v>1.9356696938744631</v>
      </c>
      <c r="H194" s="146">
        <f>('RAW DATA'!I233-'RAW DATA'!I232)/'RAW DATA'!I232</f>
        <v>-3.2523479302101019E-2</v>
      </c>
      <c r="I194" s="146">
        <f>LN('RAW DATA'!E233)</f>
        <v>27.027104669407443</v>
      </c>
      <c r="J194" s="146">
        <f>'RAW DATA'!K233/'RAW DATA'!J233</f>
        <v>0.21163067097050517</v>
      </c>
      <c r="K194" s="146">
        <f>LN('RAW DATA'!O233)</f>
        <v>1.6094379124341003</v>
      </c>
      <c r="L194" s="171">
        <f>'RAW DATA'!M233/'RAW DATA'!E233</f>
        <v>1.2839296564652748E-3</v>
      </c>
    </row>
    <row r="195" spans="1:12" ht="12.75" x14ac:dyDescent="0.2">
      <c r="A195" s="123" t="s">
        <v>53</v>
      </c>
      <c r="B195" s="42">
        <v>2023</v>
      </c>
      <c r="C195" s="146">
        <f>'RAW DATA'!G234/'RAW DATA'!H234</f>
        <v>0.73619870663382037</v>
      </c>
      <c r="D195" s="146">
        <f>'RAW DATA'!G234/'RAW DATA'!E234</f>
        <v>0.42402906062588791</v>
      </c>
      <c r="E195" s="146">
        <f>'RAW DATA'!L234/'RAW DATA'!H234</f>
        <v>1.7106203265110302E-2</v>
      </c>
      <c r="F195" s="146">
        <f>'RAW DATA'!D234/'RAW DATA'!E234</f>
        <v>0.22664549031584563</v>
      </c>
      <c r="G195" s="146">
        <f>'RAW DATA'!C234/'RAW DATA'!F234</f>
        <v>2.0225045329966695</v>
      </c>
      <c r="H195" s="146">
        <f>('RAW DATA'!I234-'RAW DATA'!I233)/'RAW DATA'!I233</f>
        <v>-0.30715547258264625</v>
      </c>
      <c r="I195" s="146">
        <f>LN('RAW DATA'!E234)</f>
        <v>27.030835322331949</v>
      </c>
      <c r="J195" s="146">
        <f>'RAW DATA'!K234/'RAW DATA'!J234</f>
        <v>0.17416691461294762</v>
      </c>
      <c r="K195" s="146">
        <f>LN('RAW DATA'!O234)</f>
        <v>1.791759469228055</v>
      </c>
      <c r="L195" s="171">
        <f>'RAW DATA'!M234/'RAW DATA'!E234</f>
        <v>1.2558110878474187E-3</v>
      </c>
    </row>
    <row r="196" spans="1:12" ht="12.75" x14ac:dyDescent="0.2">
      <c r="A196" s="123" t="s">
        <v>53</v>
      </c>
      <c r="B196" s="44">
        <v>2024</v>
      </c>
      <c r="C196" s="146">
        <f>'RAW DATA'!G235/'RAW DATA'!H235</f>
        <v>0.58190428667954175</v>
      </c>
      <c r="D196" s="146">
        <f>'RAW DATA'!G235/'RAW DATA'!E235</f>
        <v>0.36785050244789086</v>
      </c>
      <c r="E196" s="146">
        <f>'RAW DATA'!L235/'RAW DATA'!H235</f>
        <v>4.1668066851340849E-2</v>
      </c>
      <c r="F196" s="146">
        <f>'RAW DATA'!D235/'RAW DATA'!E235</f>
        <v>0.23976607787655038</v>
      </c>
      <c r="G196" s="146">
        <f>'RAW DATA'!C235/'RAW DATA'!F235</f>
        <v>2.3658896590651493</v>
      </c>
      <c r="H196" s="146">
        <f>('RAW DATA'!I235-'RAW DATA'!I234)/'RAW DATA'!I234</f>
        <v>0.48960570721064617</v>
      </c>
      <c r="I196" s="146">
        <f>LN('RAW DATA'!E235)</f>
        <v>26.980966069008865</v>
      </c>
      <c r="J196" s="146">
        <f>'RAW DATA'!K235/'RAW DATA'!J235</f>
        <v>0.14023089873453701</v>
      </c>
      <c r="K196" s="146">
        <f>LN('RAW DATA'!O235)</f>
        <v>1.9459101490553132</v>
      </c>
      <c r="L196" s="171">
        <f>'RAW DATA'!M235/'RAW DATA'!E235</f>
        <v>1.892149589557918E-3</v>
      </c>
    </row>
    <row r="197" spans="1:12" ht="12.75" x14ac:dyDescent="0.2">
      <c r="A197" s="148" t="s">
        <v>54</v>
      </c>
      <c r="B197" s="37">
        <v>2020</v>
      </c>
      <c r="C197" s="146">
        <f>'RAW DATA'!G237/'RAW DATA'!H237</f>
        <v>0.28532926617731763</v>
      </c>
      <c r="D197" s="146">
        <f>'RAW DATA'!G237/'RAW DATA'!E237</f>
        <v>0.22198923940004262</v>
      </c>
      <c r="E197" s="146">
        <f>'RAW DATA'!L237/'RAW DATA'!H237</f>
        <v>-2.1302351903238842E-2</v>
      </c>
      <c r="F197" s="146">
        <f>'RAW DATA'!D237/'RAW DATA'!E237</f>
        <v>0.54758575136731957</v>
      </c>
      <c r="G197" s="146">
        <f>'RAW DATA'!C237/'RAW DATA'!F237</f>
        <v>3.4846181463015289</v>
      </c>
      <c r="H197" s="146">
        <f>('RAW DATA'!I237-'RAW DATA'!I236)/'RAW DATA'!I236</f>
        <v>-0.39917199587095847</v>
      </c>
      <c r="I197" s="146">
        <f>LN('RAW DATA'!E237)</f>
        <v>28.490536168167143</v>
      </c>
      <c r="J197" s="146">
        <f>'RAW DATA'!K237/'RAW DATA'!J237</f>
        <v>-0.12747488536113694</v>
      </c>
      <c r="K197" s="146">
        <f>LN('RAW DATA'!O237)</f>
        <v>0.69314718055994529</v>
      </c>
      <c r="L197" s="171">
        <f>'RAW DATA'!M237/'RAW DATA'!E237</f>
        <v>1.7167499568168116E-2</v>
      </c>
    </row>
    <row r="198" spans="1:12" ht="12.75" x14ac:dyDescent="0.2">
      <c r="A198" s="123" t="s">
        <v>54</v>
      </c>
      <c r="B198" s="42">
        <v>2021</v>
      </c>
      <c r="C198" s="146">
        <f>'RAW DATA'!G238/'RAW DATA'!H238</f>
        <v>0.1680439571862119</v>
      </c>
      <c r="D198" s="146">
        <f>'RAW DATA'!G238/'RAW DATA'!E238</f>
        <v>0.14386783661038366</v>
      </c>
      <c r="E198" s="146">
        <f>'RAW DATA'!L238/'RAW DATA'!H238</f>
        <v>1.8079930229712899E-2</v>
      </c>
      <c r="F198" s="146">
        <f>'RAW DATA'!D238/'RAW DATA'!E238</f>
        <v>0.51074628865654326</v>
      </c>
      <c r="G198" s="146">
        <f>'RAW DATA'!C238/'RAW DATA'!F238</f>
        <v>8.5742056132225013</v>
      </c>
      <c r="H198" s="146">
        <f>('RAW DATA'!I238-'RAW DATA'!I237)/'RAW DATA'!I237</f>
        <v>0.60326081425512956</v>
      </c>
      <c r="I198" s="146">
        <f>LN('RAW DATA'!E238)</f>
        <v>28.604278907001433</v>
      </c>
      <c r="J198" s="146">
        <f>'RAW DATA'!K238/'RAW DATA'!J238</f>
        <v>0.61506961268480553</v>
      </c>
      <c r="K198" s="146">
        <f>LN('RAW DATA'!O238)</f>
        <v>1.0986122886681098</v>
      </c>
      <c r="L198" s="171">
        <f>'RAW DATA'!M238/'RAW DATA'!E238</f>
        <v>1.5833919433787608E-2</v>
      </c>
    </row>
    <row r="199" spans="1:12" ht="12.75" x14ac:dyDescent="0.2">
      <c r="A199" s="123" t="s">
        <v>54</v>
      </c>
      <c r="B199" s="42">
        <v>2022</v>
      </c>
      <c r="C199" s="146">
        <f>'RAW DATA'!G239/'RAW DATA'!H239</f>
        <v>0.17847482415012275</v>
      </c>
      <c r="D199" s="146">
        <f>'RAW DATA'!G239/'RAW DATA'!E239</f>
        <v>0.15144559772741256</v>
      </c>
      <c r="E199" s="146">
        <f>'RAW DATA'!L239/'RAW DATA'!H239</f>
        <v>1.557552304910011E-2</v>
      </c>
      <c r="F199" s="146">
        <f>'RAW DATA'!D239/'RAW DATA'!E239</f>
        <v>0.5245982405302867</v>
      </c>
      <c r="G199" s="146">
        <f>'RAW DATA'!C239/'RAW DATA'!F239</f>
        <v>10.688366671290803</v>
      </c>
      <c r="H199" s="146">
        <f>('RAW DATA'!I239-'RAW DATA'!I238)/'RAW DATA'!I238</f>
        <v>0.28373378724441006</v>
      </c>
      <c r="I199" s="146">
        <f>LN('RAW DATA'!E239)</f>
        <v>28.628766831591584</v>
      </c>
      <c r="J199" s="146">
        <f>'RAW DATA'!K239/'RAW DATA'!J239</f>
        <v>0.2075314679081221</v>
      </c>
      <c r="K199" s="146">
        <f>LN('RAW DATA'!O239)</f>
        <v>1.3862943611198906</v>
      </c>
      <c r="L199" s="171">
        <f>'RAW DATA'!M239/'RAW DATA'!E239</f>
        <v>1.489525225741865E-2</v>
      </c>
    </row>
    <row r="200" spans="1:12" ht="12.75" x14ac:dyDescent="0.2">
      <c r="A200" s="123" t="s">
        <v>54</v>
      </c>
      <c r="B200" s="42">
        <v>2023</v>
      </c>
      <c r="C200" s="146">
        <f>'RAW DATA'!G240/'RAW DATA'!H240</f>
        <v>0.31694276636583052</v>
      </c>
      <c r="D200" s="146">
        <f>'RAW DATA'!G240/'RAW DATA'!E240</f>
        <v>0.24066555848926521</v>
      </c>
      <c r="E200" s="146">
        <f>'RAW DATA'!L240/'RAW DATA'!H240</f>
        <v>6.0667483055748313E-3</v>
      </c>
      <c r="F200" s="146">
        <f>'RAW DATA'!D240/'RAW DATA'!E240</f>
        <v>0.58388471456417768</v>
      </c>
      <c r="G200" s="146">
        <f>'RAW DATA'!C240/'RAW DATA'!F240</f>
        <v>2.9737448530669686</v>
      </c>
      <c r="H200" s="146">
        <f>('RAW DATA'!I240-'RAW DATA'!I239)/'RAW DATA'!I239</f>
        <v>-0.12730637928757313</v>
      </c>
      <c r="I200" s="146">
        <f>LN('RAW DATA'!E240)</f>
        <v>28.797511512808608</v>
      </c>
      <c r="J200" s="146">
        <f>'RAW DATA'!K240/'RAW DATA'!J240</f>
        <v>0.35309434817989127</v>
      </c>
      <c r="K200" s="146">
        <f>LN('RAW DATA'!O240)</f>
        <v>1.6094379124341003</v>
      </c>
      <c r="L200" s="171">
        <f>'RAW DATA'!M240/'RAW DATA'!E240</f>
        <v>1.2798997144956314E-2</v>
      </c>
    </row>
    <row r="201" spans="1:12" ht="12.75" x14ac:dyDescent="0.2">
      <c r="A201" s="149" t="s">
        <v>54</v>
      </c>
      <c r="B201" s="44">
        <v>2024</v>
      </c>
      <c r="C201" s="153">
        <f>'RAW DATA'!G241/'RAW DATA'!H241</f>
        <v>0.3121442875544021</v>
      </c>
      <c r="D201" s="154">
        <f>'RAW DATA'!G241/'RAW DATA'!E241</f>
        <v>0.23788869144580294</v>
      </c>
      <c r="E201" s="154">
        <f>'RAW DATA'!L241/'RAW DATA'!H241</f>
        <v>1.3346157720781062E-2</v>
      </c>
      <c r="F201" s="154">
        <f>'RAW DATA'!D241/'RAW DATA'!E241</f>
        <v>0.56551814103694531</v>
      </c>
      <c r="G201" s="154">
        <f>'RAW DATA'!C241/'RAW DATA'!F241</f>
        <v>3.109108772882375</v>
      </c>
      <c r="H201" s="154">
        <f>('RAW DATA'!I241-'RAW DATA'!I240)/'RAW DATA'!I240</f>
        <v>0.31001189736029167</v>
      </c>
      <c r="I201" s="154">
        <f>LN('RAW DATA'!E241)</f>
        <v>28.861265435731951</v>
      </c>
      <c r="J201" s="154">
        <f>'RAW DATA'!K241/'RAW DATA'!J241</f>
        <v>0.24671777462405292</v>
      </c>
      <c r="K201" s="154">
        <f>LN('RAW DATA'!O241)</f>
        <v>1.791759469228055</v>
      </c>
      <c r="L201" s="172">
        <f>'RAW DATA'!M241/'RAW DATA'!E241</f>
        <v>1.1710042173419215E-2</v>
      </c>
    </row>
    <row r="202" spans="1:12" ht="12.75" x14ac:dyDescent="0.2">
      <c r="A202" s="123"/>
      <c r="B202" s="37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</row>
    <row r="203" spans="1:12" ht="12.75" x14ac:dyDescent="0.2">
      <c r="A203" s="123"/>
      <c r="B203" s="42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</row>
    <row r="204" spans="1:12" ht="12.75" x14ac:dyDescent="0.2">
      <c r="A204" s="123"/>
      <c r="B204" s="42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</row>
    <row r="205" spans="1:12" ht="12.75" x14ac:dyDescent="0.2">
      <c r="A205" s="123"/>
      <c r="B205" s="42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</row>
    <row r="206" spans="1:12" ht="12.75" x14ac:dyDescent="0.2">
      <c r="A206" s="149"/>
      <c r="B206" s="44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</row>
    <row r="207" spans="1:12" ht="12.75" x14ac:dyDescent="0.2">
      <c r="A207" s="123"/>
      <c r="B207" s="37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</row>
    <row r="208" spans="1:12" ht="12.75" x14ac:dyDescent="0.2">
      <c r="A208" s="123"/>
      <c r="B208" s="42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</row>
    <row r="209" spans="1:12" ht="12.75" x14ac:dyDescent="0.2">
      <c r="A209" s="123"/>
      <c r="B209" s="42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</row>
    <row r="210" spans="1:12" ht="12.75" x14ac:dyDescent="0.2">
      <c r="A210" s="123"/>
      <c r="B210" s="42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</row>
    <row r="211" spans="1:12" ht="12.75" x14ac:dyDescent="0.2">
      <c r="A211" s="149"/>
      <c r="B211" s="44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</row>
    <row r="212" spans="1:12" ht="12.75" x14ac:dyDescent="0.2">
      <c r="A212" s="123"/>
      <c r="B212" s="37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</row>
    <row r="213" spans="1:12" ht="12.75" x14ac:dyDescent="0.2">
      <c r="A213" s="123"/>
      <c r="B213" s="42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</row>
    <row r="214" spans="1:12" ht="12.75" x14ac:dyDescent="0.2">
      <c r="A214" s="123"/>
      <c r="B214" s="42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</row>
    <row r="215" spans="1:12" ht="12.75" x14ac:dyDescent="0.2">
      <c r="A215" s="123"/>
      <c r="B215" s="42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</row>
    <row r="216" spans="1:12" ht="12.75" x14ac:dyDescent="0.2">
      <c r="A216" s="149"/>
      <c r="B216" s="44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</row>
    <row r="217" spans="1:12" ht="12.75" x14ac:dyDescent="0.2">
      <c r="A217" s="123"/>
      <c r="B217" s="37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</row>
    <row r="218" spans="1:12" ht="12.75" x14ac:dyDescent="0.2">
      <c r="A218" s="123"/>
      <c r="B218" s="42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</row>
    <row r="219" spans="1:12" ht="12.75" x14ac:dyDescent="0.2">
      <c r="A219" s="123"/>
      <c r="B219" s="42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</row>
    <row r="220" spans="1:12" ht="12.75" x14ac:dyDescent="0.2">
      <c r="A220" s="123"/>
      <c r="B220" s="42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</row>
    <row r="221" spans="1:12" ht="12.75" x14ac:dyDescent="0.2">
      <c r="A221" s="149"/>
      <c r="B221" s="44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</row>
    <row r="222" spans="1:12" ht="12.75" x14ac:dyDescent="0.2">
      <c r="B222" s="37"/>
    </row>
    <row r="223" spans="1:12" ht="12.75" x14ac:dyDescent="0.2">
      <c r="B223" s="42"/>
    </row>
    <row r="224" spans="1:12" ht="12.75" x14ac:dyDescent="0.2">
      <c r="B224" s="42"/>
    </row>
    <row r="225" spans="1:12" ht="12.75" x14ac:dyDescent="0.2">
      <c r="B225" s="42"/>
    </row>
    <row r="226" spans="1:12" ht="12.75" x14ac:dyDescent="0.2">
      <c r="B226" s="44"/>
    </row>
    <row r="227" spans="1:12" ht="12.75" x14ac:dyDescent="0.2">
      <c r="A227" s="123"/>
      <c r="B227" s="37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</row>
    <row r="228" spans="1:12" ht="12.75" x14ac:dyDescent="0.2">
      <c r="A228" s="123"/>
      <c r="B228" s="42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</row>
    <row r="229" spans="1:12" ht="12.75" x14ac:dyDescent="0.2">
      <c r="A229" s="123"/>
      <c r="B229" s="42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</row>
    <row r="230" spans="1:12" ht="12.75" x14ac:dyDescent="0.2">
      <c r="A230" s="123"/>
      <c r="B230" s="42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</row>
    <row r="231" spans="1:12" ht="12.75" x14ac:dyDescent="0.2">
      <c r="A231" s="123"/>
      <c r="B231" s="44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</row>
    <row r="232" spans="1:12" ht="12.75" x14ac:dyDescent="0.2">
      <c r="A232" s="123"/>
      <c r="B232" s="37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</row>
    <row r="233" spans="1:12" ht="12.75" x14ac:dyDescent="0.2">
      <c r="A233" s="123"/>
      <c r="B233" s="42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</row>
    <row r="234" spans="1:12" ht="12.75" x14ac:dyDescent="0.2">
      <c r="A234" s="123"/>
      <c r="B234" s="42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</row>
    <row r="235" spans="1:12" ht="12.75" x14ac:dyDescent="0.2">
      <c r="A235" s="123"/>
      <c r="B235" s="42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</row>
    <row r="236" spans="1:12" ht="12.75" x14ac:dyDescent="0.2">
      <c r="A236" s="123"/>
      <c r="B236" s="44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</row>
    <row r="237" spans="1:12" ht="12.75" x14ac:dyDescent="0.2">
      <c r="A237" s="123"/>
      <c r="B237" s="37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</row>
    <row r="238" spans="1:12" ht="12.75" x14ac:dyDescent="0.2">
      <c r="A238" s="123"/>
      <c r="B238" s="42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</row>
    <row r="239" spans="1:12" ht="12.75" x14ac:dyDescent="0.2">
      <c r="A239" s="123"/>
      <c r="B239" s="42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</row>
    <row r="240" spans="1:12" ht="12.75" x14ac:dyDescent="0.2">
      <c r="A240" s="123"/>
      <c r="B240" s="42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</row>
    <row r="241" spans="1:12" ht="12.75" x14ac:dyDescent="0.2">
      <c r="A241" s="123"/>
      <c r="B241" s="44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</row>
    <row r="242" spans="1:12" ht="12.75" x14ac:dyDescent="0.2">
      <c r="A242" s="123"/>
      <c r="B242" s="37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</row>
    <row r="243" spans="1:12" ht="12.75" x14ac:dyDescent="0.2">
      <c r="A243" s="123"/>
      <c r="B243" s="42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</row>
    <row r="244" spans="1:12" ht="12.75" x14ac:dyDescent="0.2">
      <c r="A244" s="123"/>
      <c r="B244" s="42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</row>
    <row r="245" spans="1:12" ht="12.75" x14ac:dyDescent="0.2">
      <c r="A245" s="123"/>
      <c r="B245" s="42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</row>
    <row r="246" spans="1:12" ht="12.75" x14ac:dyDescent="0.2">
      <c r="A246" s="123"/>
      <c r="B246" s="44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</row>
    <row r="247" spans="1:12" ht="12.75" x14ac:dyDescent="0.2">
      <c r="A247" s="123"/>
      <c r="B247" s="37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</row>
    <row r="248" spans="1:12" ht="12.75" x14ac:dyDescent="0.2">
      <c r="A248" s="123"/>
      <c r="B248" s="42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</row>
    <row r="249" spans="1:12" ht="12.75" x14ac:dyDescent="0.2">
      <c r="A249" s="123"/>
      <c r="B249" s="42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</row>
    <row r="250" spans="1:12" ht="12.75" x14ac:dyDescent="0.2">
      <c r="A250" s="123"/>
      <c r="B250" s="42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</row>
    <row r="251" spans="1:12" ht="12.75" x14ac:dyDescent="0.2">
      <c r="A251" s="123"/>
      <c r="B251" s="44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</row>
    <row r="252" spans="1:12" ht="12.75" x14ac:dyDescent="0.2">
      <c r="A252" s="123"/>
      <c r="B252" s="37"/>
      <c r="C252" s="146"/>
      <c r="D252" s="146"/>
      <c r="E252" s="146"/>
      <c r="F252" s="146"/>
      <c r="G252" s="146"/>
      <c r="H252" s="146"/>
      <c r="I252" s="151"/>
      <c r="J252" s="151"/>
      <c r="K252" s="151"/>
      <c r="L252" s="151"/>
    </row>
    <row r="253" spans="1:12" ht="12.75" x14ac:dyDescent="0.2">
      <c r="A253" s="123"/>
      <c r="B253" s="42"/>
      <c r="C253" s="146"/>
      <c r="D253" s="146"/>
      <c r="E253" s="146"/>
      <c r="F253" s="146"/>
      <c r="G253" s="146"/>
      <c r="H253" s="146"/>
      <c r="I253" s="151"/>
      <c r="J253" s="151"/>
      <c r="K253" s="151"/>
      <c r="L253" s="151"/>
    </row>
    <row r="254" spans="1:12" ht="12.75" x14ac:dyDescent="0.2">
      <c r="A254" s="123"/>
      <c r="B254" s="42"/>
      <c r="C254" s="146"/>
      <c r="D254" s="146"/>
      <c r="E254" s="146"/>
      <c r="F254" s="146"/>
      <c r="G254" s="146"/>
      <c r="H254" s="146"/>
      <c r="I254" s="151"/>
      <c r="J254" s="151"/>
      <c r="K254" s="151"/>
      <c r="L254" s="151"/>
    </row>
    <row r="255" spans="1:12" ht="12.75" x14ac:dyDescent="0.2">
      <c r="A255" s="123"/>
      <c r="B255" s="42"/>
      <c r="C255" s="146"/>
      <c r="D255" s="146"/>
      <c r="E255" s="146"/>
      <c r="F255" s="146"/>
      <c r="G255" s="146"/>
      <c r="H255" s="146"/>
      <c r="I255" s="151"/>
      <c r="J255" s="151"/>
      <c r="K255" s="151"/>
      <c r="L255" s="151"/>
    </row>
    <row r="256" spans="1:12" ht="12.75" x14ac:dyDescent="0.2">
      <c r="A256" s="123"/>
      <c r="B256" s="44"/>
      <c r="C256" s="146"/>
      <c r="D256" s="146"/>
      <c r="E256" s="146"/>
      <c r="F256" s="146"/>
      <c r="G256" s="146"/>
      <c r="H256" s="146"/>
      <c r="I256" s="151"/>
      <c r="J256" s="151"/>
      <c r="K256" s="151"/>
      <c r="L256" s="151"/>
    </row>
    <row r="257" spans="1:12" ht="12.75" x14ac:dyDescent="0.2">
      <c r="A257" s="123"/>
      <c r="B257" s="37"/>
      <c r="C257" s="146"/>
      <c r="D257" s="146"/>
      <c r="E257" s="146"/>
      <c r="F257" s="146"/>
      <c r="G257" s="146"/>
      <c r="H257" s="146"/>
      <c r="I257" s="151"/>
      <c r="J257" s="151"/>
      <c r="K257" s="151"/>
      <c r="L257" s="151"/>
    </row>
    <row r="258" spans="1:12" ht="12.75" x14ac:dyDescent="0.2">
      <c r="A258" s="123"/>
      <c r="B258" s="42"/>
      <c r="C258" s="146"/>
      <c r="D258" s="146"/>
      <c r="E258" s="146"/>
      <c r="F258" s="146"/>
      <c r="G258" s="146"/>
      <c r="H258" s="146"/>
      <c r="I258" s="151"/>
      <c r="J258" s="151"/>
      <c r="K258" s="151"/>
      <c r="L258" s="151"/>
    </row>
    <row r="259" spans="1:12" ht="12.75" x14ac:dyDescent="0.2">
      <c r="A259" s="123"/>
      <c r="B259" s="42"/>
      <c r="C259" s="146"/>
      <c r="D259" s="146"/>
      <c r="E259" s="146"/>
      <c r="F259" s="146"/>
      <c r="G259" s="146"/>
      <c r="H259" s="146"/>
      <c r="I259" s="151"/>
      <c r="J259" s="151"/>
      <c r="K259" s="151"/>
      <c r="L259" s="151"/>
    </row>
    <row r="260" spans="1:12" ht="12.75" x14ac:dyDescent="0.2">
      <c r="A260" s="123"/>
      <c r="B260" s="42"/>
      <c r="C260" s="146"/>
      <c r="D260" s="146"/>
      <c r="E260" s="146"/>
      <c r="F260" s="146"/>
      <c r="G260" s="146"/>
      <c r="H260" s="146"/>
      <c r="I260" s="151"/>
      <c r="J260" s="151"/>
      <c r="K260" s="151"/>
      <c r="L260" s="151"/>
    </row>
    <row r="261" spans="1:12" ht="12.75" x14ac:dyDescent="0.2">
      <c r="A261" s="123"/>
      <c r="B261" s="44"/>
      <c r="C261" s="146"/>
      <c r="D261" s="146"/>
      <c r="E261" s="146"/>
      <c r="F261" s="146"/>
      <c r="G261" s="146"/>
      <c r="H261" s="146"/>
      <c r="I261" s="151"/>
      <c r="J261" s="151"/>
      <c r="K261" s="151"/>
      <c r="L261" s="151"/>
    </row>
    <row r="262" spans="1:12" ht="12.75" x14ac:dyDescent="0.2">
      <c r="A262" s="123"/>
      <c r="B262" s="37"/>
      <c r="C262" s="146"/>
      <c r="D262" s="146"/>
      <c r="E262" s="146"/>
      <c r="F262" s="146"/>
      <c r="G262" s="146"/>
      <c r="H262" s="146"/>
      <c r="I262" s="151"/>
      <c r="J262" s="151"/>
      <c r="K262" s="151"/>
      <c r="L262" s="151"/>
    </row>
    <row r="263" spans="1:12" ht="12.75" x14ac:dyDescent="0.2">
      <c r="A263" s="123"/>
      <c r="B263" s="42"/>
      <c r="C263" s="146"/>
      <c r="D263" s="146"/>
      <c r="E263" s="146"/>
      <c r="F263" s="146"/>
      <c r="G263" s="146"/>
      <c r="H263" s="146"/>
      <c r="I263" s="151"/>
      <c r="J263" s="151"/>
      <c r="K263" s="151"/>
      <c r="L263" s="151"/>
    </row>
    <row r="264" spans="1:12" ht="12.75" x14ac:dyDescent="0.2">
      <c r="A264" s="123"/>
      <c r="B264" s="42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</row>
    <row r="265" spans="1:12" ht="12.75" x14ac:dyDescent="0.2">
      <c r="A265" s="123"/>
      <c r="B265" s="42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</row>
    <row r="266" spans="1:12" ht="12.75" x14ac:dyDescent="0.2">
      <c r="A266" s="123"/>
      <c r="B266" s="44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</row>
    <row r="267" spans="1:12" ht="12.75" x14ac:dyDescent="0.2">
      <c r="A267" s="123"/>
      <c r="B267" s="37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</row>
    <row r="268" spans="1:12" ht="12.75" x14ac:dyDescent="0.2">
      <c r="A268" s="123"/>
      <c r="B268" s="42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</row>
    <row r="269" spans="1:12" ht="12.75" x14ac:dyDescent="0.2">
      <c r="A269" s="123"/>
      <c r="B269" s="42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</row>
    <row r="270" spans="1:12" ht="12.75" x14ac:dyDescent="0.2">
      <c r="A270" s="123"/>
      <c r="B270" s="42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</row>
    <row r="271" spans="1:12" ht="12.75" x14ac:dyDescent="0.2">
      <c r="A271" s="123"/>
      <c r="B271" s="44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</row>
    <row r="272" spans="1:12" ht="12.75" x14ac:dyDescent="0.2">
      <c r="A272" s="123"/>
      <c r="B272" s="37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</row>
    <row r="273" spans="1:12" ht="12.75" x14ac:dyDescent="0.2">
      <c r="A273" s="123"/>
      <c r="B273" s="42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</row>
    <row r="274" spans="1:12" ht="12.75" x14ac:dyDescent="0.2">
      <c r="A274" s="123"/>
      <c r="B274" s="42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</row>
    <row r="275" spans="1:12" ht="12.75" x14ac:dyDescent="0.2">
      <c r="A275" s="123"/>
      <c r="B275" s="42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</row>
    <row r="276" spans="1:12" ht="12.75" x14ac:dyDescent="0.2">
      <c r="A276" s="123"/>
      <c r="B276" s="44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</row>
    <row r="277" spans="1:12" ht="12.75" x14ac:dyDescent="0.2">
      <c r="A277" s="123"/>
      <c r="B277" s="37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</row>
    <row r="278" spans="1:12" ht="12.75" x14ac:dyDescent="0.2">
      <c r="A278" s="123"/>
      <c r="B278" s="42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</row>
    <row r="279" spans="1:12" ht="12.75" x14ac:dyDescent="0.2">
      <c r="A279" s="123"/>
      <c r="B279" s="42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</row>
    <row r="280" spans="1:12" ht="12.75" x14ac:dyDescent="0.2">
      <c r="A280" s="123"/>
      <c r="B280" s="42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</row>
    <row r="281" spans="1:12" ht="12.75" x14ac:dyDescent="0.2">
      <c r="A281" s="123"/>
      <c r="B281" s="44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</row>
    <row r="282" spans="1:12" ht="12.75" x14ac:dyDescent="0.2">
      <c r="A282" s="123"/>
      <c r="B282" s="37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</row>
    <row r="283" spans="1:12" ht="12.75" x14ac:dyDescent="0.2">
      <c r="A283" s="123"/>
      <c r="B283" s="42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</row>
    <row r="284" spans="1:12" ht="12.75" x14ac:dyDescent="0.2">
      <c r="A284" s="123"/>
      <c r="B284" s="42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</row>
    <row r="285" spans="1:12" ht="12.75" x14ac:dyDescent="0.2">
      <c r="A285" s="123"/>
      <c r="B285" s="42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</row>
    <row r="286" spans="1:12" ht="12.75" x14ac:dyDescent="0.2">
      <c r="A286" s="123"/>
      <c r="B286" s="44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</row>
    <row r="287" spans="1:12" ht="12.75" x14ac:dyDescent="0.2">
      <c r="A287" s="123"/>
      <c r="B287" s="37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</row>
    <row r="288" spans="1:12" ht="12.75" x14ac:dyDescent="0.2">
      <c r="A288" s="123"/>
      <c r="B288" s="42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</row>
    <row r="289" spans="1:12" ht="12.75" x14ac:dyDescent="0.2">
      <c r="A289" s="123"/>
      <c r="B289" s="42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</row>
    <row r="290" spans="1:12" ht="12.75" x14ac:dyDescent="0.2">
      <c r="A290" s="123"/>
      <c r="B290" s="42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</row>
    <row r="291" spans="1:12" ht="12.75" x14ac:dyDescent="0.2">
      <c r="A291" s="123"/>
      <c r="B291" s="44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</row>
    <row r="292" spans="1:12" ht="12.75" x14ac:dyDescent="0.2">
      <c r="A292" s="123"/>
      <c r="B292" s="37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</row>
    <row r="293" spans="1:12" ht="12.75" x14ac:dyDescent="0.2">
      <c r="A293" s="123"/>
      <c r="B293" s="42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</row>
    <row r="294" spans="1:12" ht="12.75" x14ac:dyDescent="0.2">
      <c r="A294" s="123"/>
      <c r="B294" s="42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</row>
    <row r="295" spans="1:12" ht="12.75" x14ac:dyDescent="0.2">
      <c r="A295" s="123"/>
      <c r="B295" s="42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</row>
    <row r="296" spans="1:12" ht="12.75" x14ac:dyDescent="0.2">
      <c r="A296" s="123"/>
      <c r="B296" s="44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</row>
    <row r="297" spans="1:12" ht="12.75" x14ac:dyDescent="0.2">
      <c r="A297" s="123"/>
      <c r="B297" s="129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</row>
    <row r="298" spans="1:12" ht="12.75" x14ac:dyDescent="0.2">
      <c r="A298" s="123"/>
      <c r="B298" s="129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</row>
    <row r="299" spans="1:12" ht="12.75" x14ac:dyDescent="0.2">
      <c r="A299" s="123"/>
      <c r="B299" s="129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</row>
    <row r="300" spans="1:12" ht="12.75" x14ac:dyDescent="0.2">
      <c r="A300" s="123"/>
      <c r="B300" s="129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</row>
    <row r="301" spans="1:12" ht="12.75" x14ac:dyDescent="0.2">
      <c r="A301" s="123"/>
      <c r="B301" s="129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</row>
    <row r="302" spans="1:12" ht="12.75" x14ac:dyDescent="0.2">
      <c r="A302" s="123"/>
      <c r="B302" s="129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</row>
    <row r="303" spans="1:12" ht="12.75" x14ac:dyDescent="0.2">
      <c r="A303" s="123"/>
      <c r="B303" s="129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</row>
    <row r="304" spans="1:12" ht="12.75" x14ac:dyDescent="0.2">
      <c r="A304" s="123"/>
      <c r="B304" s="129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</row>
    <row r="305" spans="1:12" ht="12.75" x14ac:dyDescent="0.2">
      <c r="A305" s="123"/>
      <c r="B305" s="129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</row>
    <row r="306" spans="1:12" ht="12.75" x14ac:dyDescent="0.2">
      <c r="A306" s="123"/>
      <c r="B306" s="129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</row>
    <row r="307" spans="1:12" ht="12.75" x14ac:dyDescent="0.2">
      <c r="A307" s="123"/>
      <c r="B307" s="129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</row>
    <row r="308" spans="1:12" ht="12.75" x14ac:dyDescent="0.2">
      <c r="A308" s="123"/>
      <c r="B308" s="129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</row>
    <row r="309" spans="1:12" ht="12.75" x14ac:dyDescent="0.2">
      <c r="A309" s="123"/>
      <c r="B309" s="129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</row>
    <row r="310" spans="1:12" ht="12.75" x14ac:dyDescent="0.2">
      <c r="A310" s="123"/>
      <c r="B310" s="129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</row>
    <row r="311" spans="1:12" ht="12.75" x14ac:dyDescent="0.2">
      <c r="A311" s="123"/>
      <c r="B311" s="129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</row>
    <row r="312" spans="1:12" ht="12.75" x14ac:dyDescent="0.2">
      <c r="A312" s="123"/>
      <c r="B312" s="129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</row>
    <row r="313" spans="1:12" ht="12.75" x14ac:dyDescent="0.2">
      <c r="A313" s="123"/>
      <c r="B313" s="129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</row>
    <row r="314" spans="1:12" ht="12.75" x14ac:dyDescent="0.2">
      <c r="A314" s="123"/>
      <c r="B314" s="129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</row>
    <row r="315" spans="1:12" ht="12.75" x14ac:dyDescent="0.2">
      <c r="A315" s="123"/>
      <c r="B315" s="129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</row>
    <row r="316" spans="1:12" ht="12.75" x14ac:dyDescent="0.2">
      <c r="A316" s="123"/>
      <c r="B316" s="129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</row>
    <row r="317" spans="1:12" ht="12.75" x14ac:dyDescent="0.2">
      <c r="A317" s="123"/>
      <c r="B317" s="129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</row>
    <row r="318" spans="1:12" ht="12.75" x14ac:dyDescent="0.2">
      <c r="A318" s="123"/>
      <c r="B318" s="129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</row>
    <row r="319" spans="1:12" ht="12.75" x14ac:dyDescent="0.2">
      <c r="A319" s="123"/>
      <c r="B319" s="129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</row>
    <row r="320" spans="1:12" ht="12.75" x14ac:dyDescent="0.2">
      <c r="A320" s="123"/>
      <c r="B320" s="129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</row>
    <row r="321" spans="1:12" ht="12.75" x14ac:dyDescent="0.2">
      <c r="A321" s="123"/>
      <c r="B321" s="129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</row>
    <row r="322" spans="1:12" ht="12.75" x14ac:dyDescent="0.2">
      <c r="A322" s="123"/>
      <c r="B322" s="129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</row>
    <row r="323" spans="1:12" ht="12.75" x14ac:dyDescent="0.2">
      <c r="A323" s="123"/>
      <c r="B323" s="129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</row>
    <row r="324" spans="1:12" ht="12.75" x14ac:dyDescent="0.2">
      <c r="A324" s="123"/>
      <c r="B324" s="129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</row>
    <row r="325" spans="1:12" ht="12.75" x14ac:dyDescent="0.2">
      <c r="A325" s="123"/>
      <c r="B325" s="129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</row>
    <row r="326" spans="1:12" ht="12.75" x14ac:dyDescent="0.2">
      <c r="A326" s="123"/>
      <c r="B326" s="129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</row>
    <row r="327" spans="1:12" ht="12.75" x14ac:dyDescent="0.2">
      <c r="A327" s="123"/>
      <c r="B327" s="129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</row>
    <row r="328" spans="1:12" ht="12.75" x14ac:dyDescent="0.2">
      <c r="A328" s="123"/>
      <c r="B328" s="129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</row>
    <row r="329" spans="1:12" ht="12.75" x14ac:dyDescent="0.2">
      <c r="A329" s="123"/>
      <c r="B329" s="129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</row>
    <row r="330" spans="1:12" ht="12.75" x14ac:dyDescent="0.2">
      <c r="A330" s="123"/>
      <c r="B330" s="129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</row>
    <row r="331" spans="1:12" ht="12.75" x14ac:dyDescent="0.2">
      <c r="A331" s="123"/>
      <c r="B331" s="129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</row>
    <row r="332" spans="1:12" ht="12.75" x14ac:dyDescent="0.2">
      <c r="A332" s="123"/>
      <c r="B332" s="129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</row>
    <row r="333" spans="1:12" ht="12.75" x14ac:dyDescent="0.2">
      <c r="A333" s="123"/>
      <c r="B333" s="129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</row>
    <row r="334" spans="1:12" ht="12.75" x14ac:dyDescent="0.2">
      <c r="A334" s="123"/>
      <c r="B334" s="129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</row>
    <row r="335" spans="1:12" ht="12.75" x14ac:dyDescent="0.2">
      <c r="A335" s="123"/>
      <c r="B335" s="129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</row>
    <row r="336" spans="1:12" ht="12.75" x14ac:dyDescent="0.2">
      <c r="A336" s="123"/>
      <c r="B336" s="129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</row>
    <row r="337" spans="1:12" ht="12.75" x14ac:dyDescent="0.2">
      <c r="A337" s="123"/>
      <c r="B337" s="129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</row>
    <row r="338" spans="1:12" ht="12.75" x14ac:dyDescent="0.2">
      <c r="A338" s="123"/>
      <c r="B338" s="129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</row>
    <row r="339" spans="1:12" ht="12.75" x14ac:dyDescent="0.2">
      <c r="A339" s="123"/>
      <c r="B339" s="129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</row>
    <row r="340" spans="1:12" ht="12.75" x14ac:dyDescent="0.2">
      <c r="A340" s="123"/>
      <c r="B340" s="129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</row>
    <row r="341" spans="1:12" ht="12.75" x14ac:dyDescent="0.2">
      <c r="A341" s="123"/>
      <c r="B341" s="129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</row>
    <row r="342" spans="1:12" ht="12.75" x14ac:dyDescent="0.2">
      <c r="A342" s="123"/>
      <c r="B342" s="129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</row>
    <row r="343" spans="1:12" ht="12.75" x14ac:dyDescent="0.2">
      <c r="A343" s="123"/>
      <c r="B343" s="129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</row>
    <row r="344" spans="1:12" ht="12.75" x14ac:dyDescent="0.2">
      <c r="A344" s="123"/>
      <c r="B344" s="129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</row>
    <row r="345" spans="1:12" ht="12.75" x14ac:dyDescent="0.2">
      <c r="A345" s="123"/>
      <c r="B345" s="129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</row>
    <row r="346" spans="1:12" ht="12.75" x14ac:dyDescent="0.2">
      <c r="A346" s="123"/>
      <c r="B346" s="129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</row>
    <row r="347" spans="1:12" ht="12.75" x14ac:dyDescent="0.2">
      <c r="A347" s="123"/>
      <c r="B347" s="129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</row>
    <row r="348" spans="1:12" ht="12.75" x14ac:dyDescent="0.2">
      <c r="A348" s="123"/>
      <c r="B348" s="129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</row>
    <row r="349" spans="1:12" ht="12.75" x14ac:dyDescent="0.2">
      <c r="A349" s="123"/>
      <c r="B349" s="129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</row>
    <row r="350" spans="1:12" ht="12.75" x14ac:dyDescent="0.2">
      <c r="A350" s="123"/>
      <c r="B350" s="129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</row>
    <row r="351" spans="1:12" ht="12.75" x14ac:dyDescent="0.2">
      <c r="A351" s="123"/>
      <c r="B351" s="129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</row>
    <row r="352" spans="1:12" ht="12.75" x14ac:dyDescent="0.2">
      <c r="A352" s="123"/>
      <c r="B352" s="129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</row>
    <row r="353" spans="1:12" ht="12.75" x14ac:dyDescent="0.2">
      <c r="A353" s="123"/>
      <c r="B353" s="129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</row>
    <row r="354" spans="1:12" ht="12.75" x14ac:dyDescent="0.2">
      <c r="A354" s="123"/>
      <c r="B354" s="129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</row>
    <row r="355" spans="1:12" ht="12.75" x14ac:dyDescent="0.2">
      <c r="A355" s="123"/>
      <c r="B355" s="129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</row>
    <row r="356" spans="1:12" ht="12.75" x14ac:dyDescent="0.2">
      <c r="A356" s="123"/>
      <c r="B356" s="129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</row>
    <row r="357" spans="1:12" ht="12.75" x14ac:dyDescent="0.2">
      <c r="A357" s="123"/>
      <c r="B357" s="129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</row>
    <row r="358" spans="1:12" ht="12.75" x14ac:dyDescent="0.2">
      <c r="A358" s="123"/>
      <c r="B358" s="129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</row>
    <row r="359" spans="1:12" ht="12.75" x14ac:dyDescent="0.2">
      <c r="A359" s="123"/>
      <c r="B359" s="129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</row>
    <row r="360" spans="1:12" ht="12.75" x14ac:dyDescent="0.2">
      <c r="A360" s="123"/>
      <c r="B360" s="129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</row>
    <row r="361" spans="1:12" ht="12.75" x14ac:dyDescent="0.2">
      <c r="A361" s="123"/>
      <c r="B361" s="129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</row>
    <row r="362" spans="1:12" ht="12.75" x14ac:dyDescent="0.2">
      <c r="A362" s="123"/>
      <c r="B362" s="129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</row>
    <row r="363" spans="1:12" ht="12.75" x14ac:dyDescent="0.2">
      <c r="A363" s="123"/>
      <c r="B363" s="129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</row>
    <row r="364" spans="1:12" ht="12.75" x14ac:dyDescent="0.2">
      <c r="A364" s="123"/>
      <c r="B364" s="129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</row>
    <row r="365" spans="1:12" ht="12.75" x14ac:dyDescent="0.2">
      <c r="A365" s="123"/>
      <c r="B365" s="129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</row>
    <row r="366" spans="1:12" ht="12.75" x14ac:dyDescent="0.2">
      <c r="A366" s="123"/>
      <c r="B366" s="129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</row>
    <row r="367" spans="1:12" ht="12.75" x14ac:dyDescent="0.2">
      <c r="A367" s="123"/>
      <c r="B367" s="129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</row>
    <row r="368" spans="1:12" ht="12.75" x14ac:dyDescent="0.2">
      <c r="A368" s="123"/>
      <c r="B368" s="129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</row>
    <row r="369" spans="1:12" ht="12.75" x14ac:dyDescent="0.2">
      <c r="A369" s="123"/>
      <c r="B369" s="129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</row>
    <row r="370" spans="1:12" ht="12.75" x14ac:dyDescent="0.2">
      <c r="A370" s="123"/>
      <c r="B370" s="129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</row>
    <row r="371" spans="1:12" ht="12.75" x14ac:dyDescent="0.2">
      <c r="A371" s="123"/>
      <c r="B371" s="129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</row>
    <row r="372" spans="1:12" ht="12.75" x14ac:dyDescent="0.2">
      <c r="A372" s="123"/>
      <c r="B372" s="129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</row>
    <row r="373" spans="1:12" ht="12.75" x14ac:dyDescent="0.2">
      <c r="A373" s="123"/>
      <c r="B373" s="129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</row>
    <row r="374" spans="1:12" ht="12.75" x14ac:dyDescent="0.2">
      <c r="A374" s="123"/>
      <c r="B374" s="129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</row>
    <row r="375" spans="1:12" ht="12.75" x14ac:dyDescent="0.2">
      <c r="A375" s="123"/>
      <c r="B375" s="129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</row>
    <row r="376" spans="1:12" ht="12.75" x14ac:dyDescent="0.2">
      <c r="A376" s="123"/>
      <c r="B376" s="129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</row>
    <row r="377" spans="1:12" ht="12.75" x14ac:dyDescent="0.2">
      <c r="A377" s="123"/>
      <c r="B377" s="129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</row>
    <row r="378" spans="1:12" ht="12.75" x14ac:dyDescent="0.2">
      <c r="A378" s="123"/>
      <c r="B378" s="129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</row>
    <row r="379" spans="1:12" ht="12.75" x14ac:dyDescent="0.2">
      <c r="A379" s="123"/>
      <c r="B379" s="129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</row>
    <row r="380" spans="1:12" ht="12.75" x14ac:dyDescent="0.2">
      <c r="A380" s="123"/>
      <c r="B380" s="129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</row>
    <row r="381" spans="1:12" ht="12.75" x14ac:dyDescent="0.2">
      <c r="A381" s="123"/>
      <c r="B381" s="129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</row>
    <row r="382" spans="1:12" ht="12.75" x14ac:dyDescent="0.2">
      <c r="A382" s="123"/>
      <c r="B382" s="129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</row>
    <row r="383" spans="1:12" ht="12.75" x14ac:dyDescent="0.2">
      <c r="A383" s="123"/>
      <c r="B383" s="129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</row>
    <row r="384" spans="1:12" ht="12.75" x14ac:dyDescent="0.2">
      <c r="A384" s="123"/>
      <c r="B384" s="129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</row>
    <row r="385" spans="1:12" ht="12.75" x14ac:dyDescent="0.2">
      <c r="A385" s="123"/>
      <c r="B385" s="129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</row>
    <row r="386" spans="1:12" ht="12.75" x14ac:dyDescent="0.2">
      <c r="A386" s="123"/>
      <c r="B386" s="129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</row>
    <row r="387" spans="1:12" ht="12.75" x14ac:dyDescent="0.2">
      <c r="A387" s="123"/>
      <c r="B387" s="129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</row>
    <row r="388" spans="1:12" ht="12.75" x14ac:dyDescent="0.2">
      <c r="A388" s="123"/>
      <c r="B388" s="129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</row>
    <row r="389" spans="1:12" ht="12.75" x14ac:dyDescent="0.2">
      <c r="A389" s="123"/>
      <c r="B389" s="129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</row>
    <row r="390" spans="1:12" ht="12.75" x14ac:dyDescent="0.2">
      <c r="A390" s="123"/>
      <c r="B390" s="129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</row>
    <row r="391" spans="1:12" ht="12.75" x14ac:dyDescent="0.2">
      <c r="A391" s="123"/>
      <c r="B391" s="129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</row>
    <row r="392" spans="1:12" ht="12.75" x14ac:dyDescent="0.2">
      <c r="A392" s="123"/>
      <c r="B392" s="129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</row>
    <row r="393" spans="1:12" ht="12.75" x14ac:dyDescent="0.2">
      <c r="A393" s="123"/>
      <c r="B393" s="129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</row>
    <row r="394" spans="1:12" ht="12.75" x14ac:dyDescent="0.2">
      <c r="A394" s="123"/>
      <c r="B394" s="129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</row>
    <row r="395" spans="1:12" ht="12.75" x14ac:dyDescent="0.2">
      <c r="A395" s="123"/>
      <c r="B395" s="12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</row>
    <row r="396" spans="1:12" ht="12.75" x14ac:dyDescent="0.2">
      <c r="A396" s="123"/>
      <c r="B396" s="129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</row>
    <row r="397" spans="1:12" ht="12.75" x14ac:dyDescent="0.2">
      <c r="A397" s="123"/>
      <c r="B397" s="129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</row>
    <row r="398" spans="1:12" ht="12.75" x14ac:dyDescent="0.2">
      <c r="A398" s="123"/>
      <c r="B398" s="129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</row>
    <row r="399" spans="1:12" ht="12.75" x14ac:dyDescent="0.2">
      <c r="A399" s="123"/>
      <c r="B399" s="129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</row>
    <row r="400" spans="1:12" ht="12.75" x14ac:dyDescent="0.2">
      <c r="A400" s="123"/>
      <c r="B400" s="129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</row>
    <row r="401" spans="1:12" ht="12.75" x14ac:dyDescent="0.2">
      <c r="A401" s="123"/>
      <c r="B401" s="129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</row>
    <row r="402" spans="1:12" ht="12.75" x14ac:dyDescent="0.2">
      <c r="A402" s="123"/>
      <c r="B402" s="129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</row>
    <row r="403" spans="1:12" ht="12.75" x14ac:dyDescent="0.2">
      <c r="A403" s="123"/>
      <c r="B403" s="129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</row>
    <row r="404" spans="1:12" ht="12.75" x14ac:dyDescent="0.2">
      <c r="A404" s="123"/>
      <c r="B404" s="129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</row>
    <row r="405" spans="1:12" ht="12.75" x14ac:dyDescent="0.2">
      <c r="A405" s="123"/>
      <c r="B405" s="129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</row>
    <row r="406" spans="1:12" ht="12.75" x14ac:dyDescent="0.2">
      <c r="A406" s="123"/>
      <c r="B406" s="129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</row>
    <row r="407" spans="1:12" ht="12.75" x14ac:dyDescent="0.2">
      <c r="A407" s="123"/>
      <c r="B407" s="129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</row>
    <row r="408" spans="1:12" ht="12.75" x14ac:dyDescent="0.2">
      <c r="A408" s="123"/>
      <c r="B408" s="129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</row>
    <row r="409" spans="1:12" ht="12.75" x14ac:dyDescent="0.2">
      <c r="A409" s="123"/>
      <c r="B409" s="129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</row>
    <row r="410" spans="1:12" ht="12.75" x14ac:dyDescent="0.2">
      <c r="A410" s="123"/>
      <c r="B410" s="129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</row>
    <row r="411" spans="1:12" ht="12.75" x14ac:dyDescent="0.2">
      <c r="A411" s="123"/>
      <c r="B411" s="129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</row>
    <row r="412" spans="1:12" ht="12.75" x14ac:dyDescent="0.2">
      <c r="A412" s="123"/>
      <c r="B412" s="129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</row>
    <row r="413" spans="1:12" ht="12.75" x14ac:dyDescent="0.2">
      <c r="A413" s="123"/>
      <c r="B413" s="129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</row>
    <row r="414" spans="1:12" ht="12.75" x14ac:dyDescent="0.2">
      <c r="A414" s="123"/>
      <c r="B414" s="129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</row>
    <row r="415" spans="1:12" ht="12.75" x14ac:dyDescent="0.2">
      <c r="A415" s="123"/>
      <c r="B415" s="129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</row>
    <row r="416" spans="1:12" ht="12.75" x14ac:dyDescent="0.2">
      <c r="A416" s="123"/>
      <c r="B416" s="129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</row>
    <row r="417" spans="1:12" ht="12.75" x14ac:dyDescent="0.2">
      <c r="A417" s="123"/>
      <c r="B417" s="129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</row>
    <row r="418" spans="1:12" ht="12.75" x14ac:dyDescent="0.2">
      <c r="A418" s="123"/>
      <c r="B418" s="129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</row>
    <row r="419" spans="1:12" ht="12.75" x14ac:dyDescent="0.2">
      <c r="A419" s="123"/>
      <c r="B419" s="129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</row>
    <row r="420" spans="1:12" ht="12.75" x14ac:dyDescent="0.2">
      <c r="A420" s="123"/>
      <c r="B420" s="129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</row>
    <row r="421" spans="1:12" ht="12.75" x14ac:dyDescent="0.2">
      <c r="A421" s="123"/>
      <c r="B421" s="129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</row>
    <row r="422" spans="1:12" ht="12.75" x14ac:dyDescent="0.2">
      <c r="A422" s="123"/>
      <c r="B422" s="129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</row>
    <row r="423" spans="1:12" ht="12.75" x14ac:dyDescent="0.2">
      <c r="A423" s="123"/>
      <c r="B423" s="129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</row>
    <row r="424" spans="1:12" ht="12.75" x14ac:dyDescent="0.2">
      <c r="A424" s="123"/>
      <c r="B424" s="129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</row>
    <row r="425" spans="1:12" ht="12.75" x14ac:dyDescent="0.2">
      <c r="A425" s="123"/>
      <c r="B425" s="129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</row>
    <row r="426" spans="1:12" ht="12.75" x14ac:dyDescent="0.2">
      <c r="A426" s="123"/>
      <c r="B426" s="129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</row>
    <row r="427" spans="1:12" ht="12.75" x14ac:dyDescent="0.2">
      <c r="A427" s="123"/>
      <c r="B427" s="129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</row>
    <row r="428" spans="1:12" ht="12.75" x14ac:dyDescent="0.2">
      <c r="A428" s="123"/>
      <c r="B428" s="129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</row>
    <row r="429" spans="1:12" ht="12.75" x14ac:dyDescent="0.2">
      <c r="A429" s="123"/>
      <c r="B429" s="129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</row>
    <row r="430" spans="1:12" ht="12.75" x14ac:dyDescent="0.2">
      <c r="A430" s="123"/>
      <c r="B430" s="129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</row>
    <row r="431" spans="1:12" ht="12.75" x14ac:dyDescent="0.2">
      <c r="A431" s="123"/>
      <c r="B431" s="129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</row>
    <row r="432" spans="1:12" ht="12.75" x14ac:dyDescent="0.2">
      <c r="A432" s="123"/>
      <c r="B432" s="129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</row>
    <row r="433" spans="1:12" ht="12.75" x14ac:dyDescent="0.2">
      <c r="A433" s="123"/>
      <c r="B433" s="129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</row>
    <row r="434" spans="1:12" ht="12.75" x14ac:dyDescent="0.2">
      <c r="A434" s="123"/>
      <c r="B434" s="129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</row>
    <row r="435" spans="1:12" ht="12.75" x14ac:dyDescent="0.2">
      <c r="A435" s="123"/>
      <c r="B435" s="129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</row>
    <row r="436" spans="1:12" ht="12.75" x14ac:dyDescent="0.2">
      <c r="A436" s="123"/>
      <c r="B436" s="129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</row>
    <row r="437" spans="1:12" ht="12.75" x14ac:dyDescent="0.2">
      <c r="A437" s="123"/>
      <c r="B437" s="129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</row>
    <row r="438" spans="1:12" ht="12.75" x14ac:dyDescent="0.2">
      <c r="A438" s="123"/>
      <c r="B438" s="129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</row>
    <row r="439" spans="1:12" ht="12.75" x14ac:dyDescent="0.2">
      <c r="A439" s="123"/>
      <c r="B439" s="129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</row>
    <row r="440" spans="1:12" ht="12.75" x14ac:dyDescent="0.2">
      <c r="A440" s="123"/>
      <c r="B440" s="129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</row>
    <row r="441" spans="1:12" ht="12.75" x14ac:dyDescent="0.2">
      <c r="A441" s="123"/>
      <c r="B441" s="129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</row>
    <row r="442" spans="1:12" ht="12.75" x14ac:dyDescent="0.2">
      <c r="A442" s="123"/>
      <c r="B442" s="129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</row>
    <row r="443" spans="1:12" ht="12.75" x14ac:dyDescent="0.2">
      <c r="A443" s="123"/>
      <c r="B443" s="129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</row>
    <row r="444" spans="1:12" ht="12.75" x14ac:dyDescent="0.2">
      <c r="A444" s="123"/>
      <c r="B444" s="12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</row>
    <row r="445" spans="1:12" ht="12.75" x14ac:dyDescent="0.2">
      <c r="A445" s="123"/>
      <c r="B445" s="129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</row>
    <row r="446" spans="1:12" ht="12.75" x14ac:dyDescent="0.2">
      <c r="A446" s="123"/>
      <c r="B446" s="129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</row>
    <row r="447" spans="1:12" ht="12.75" x14ac:dyDescent="0.2">
      <c r="A447" s="123"/>
      <c r="B447" s="129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</row>
    <row r="448" spans="1:12" ht="12.75" x14ac:dyDescent="0.2">
      <c r="A448" s="123"/>
      <c r="B448" s="129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</row>
    <row r="449" spans="1:12" ht="12.75" x14ac:dyDescent="0.2">
      <c r="A449" s="123"/>
      <c r="B449" s="129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</row>
    <row r="450" spans="1:12" ht="12.75" x14ac:dyDescent="0.2">
      <c r="A450" s="123"/>
      <c r="B450" s="129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</row>
    <row r="451" spans="1:12" ht="12.75" x14ac:dyDescent="0.2">
      <c r="A451" s="123"/>
      <c r="B451" s="129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</row>
    <row r="452" spans="1:12" ht="12.75" x14ac:dyDescent="0.2">
      <c r="A452" s="123"/>
      <c r="B452" s="129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</row>
    <row r="453" spans="1:12" ht="12.75" x14ac:dyDescent="0.2">
      <c r="A453" s="123"/>
      <c r="B453" s="129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</row>
    <row r="454" spans="1:12" ht="12.75" x14ac:dyDescent="0.2">
      <c r="A454" s="123"/>
      <c r="B454" s="12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</row>
    <row r="455" spans="1:12" ht="12.75" x14ac:dyDescent="0.2">
      <c r="A455" s="123"/>
      <c r="B455" s="129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</row>
    <row r="456" spans="1:12" ht="12.75" x14ac:dyDescent="0.2">
      <c r="A456" s="123"/>
      <c r="B456" s="129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</row>
    <row r="457" spans="1:12" ht="12.75" x14ac:dyDescent="0.2">
      <c r="A457" s="123"/>
      <c r="B457" s="129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</row>
    <row r="458" spans="1:12" ht="12.75" x14ac:dyDescent="0.2">
      <c r="A458" s="123"/>
      <c r="B458" s="129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</row>
    <row r="459" spans="1:12" ht="12.75" x14ac:dyDescent="0.2">
      <c r="A459" s="123"/>
      <c r="B459" s="129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</row>
    <row r="460" spans="1:12" ht="12.75" x14ac:dyDescent="0.2">
      <c r="A460" s="123"/>
      <c r="B460" s="129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</row>
    <row r="461" spans="1:12" ht="12.75" x14ac:dyDescent="0.2">
      <c r="A461" s="123"/>
      <c r="B461" s="129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</row>
    <row r="462" spans="1:12" ht="12.75" x14ac:dyDescent="0.2">
      <c r="A462" s="123"/>
      <c r="B462" s="129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</row>
    <row r="463" spans="1:12" ht="12.75" x14ac:dyDescent="0.2">
      <c r="A463" s="123"/>
      <c r="B463" s="129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</row>
    <row r="464" spans="1:12" ht="12.75" x14ac:dyDescent="0.2">
      <c r="A464" s="123"/>
      <c r="B464" s="129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</row>
    <row r="465" spans="1:12" ht="12.75" x14ac:dyDescent="0.2">
      <c r="A465" s="123"/>
      <c r="B465" s="129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</row>
    <row r="466" spans="1:12" ht="12.75" x14ac:dyDescent="0.2">
      <c r="A466" s="123"/>
      <c r="B466" s="129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</row>
    <row r="467" spans="1:12" ht="12.75" x14ac:dyDescent="0.2">
      <c r="A467" s="123"/>
      <c r="B467" s="129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</row>
    <row r="468" spans="1:12" ht="12.75" x14ac:dyDescent="0.2">
      <c r="A468" s="123"/>
      <c r="B468" s="129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</row>
    <row r="469" spans="1:12" ht="12.75" x14ac:dyDescent="0.2">
      <c r="A469" s="123"/>
      <c r="B469" s="129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</row>
    <row r="470" spans="1:12" ht="12.75" x14ac:dyDescent="0.2">
      <c r="A470" s="123"/>
      <c r="B470" s="129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</row>
    <row r="471" spans="1:12" ht="12.75" x14ac:dyDescent="0.2">
      <c r="A471" s="123"/>
      <c r="B471" s="129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</row>
    <row r="472" spans="1:12" ht="12.75" x14ac:dyDescent="0.2">
      <c r="A472" s="123"/>
      <c r="B472" s="129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</row>
    <row r="473" spans="1:12" ht="12.75" x14ac:dyDescent="0.2">
      <c r="A473" s="123"/>
      <c r="B473" s="129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</row>
    <row r="474" spans="1:12" ht="12.75" x14ac:dyDescent="0.2">
      <c r="A474" s="123"/>
      <c r="B474" s="129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</row>
    <row r="475" spans="1:12" ht="12.75" x14ac:dyDescent="0.2">
      <c r="A475" s="123"/>
      <c r="B475" s="129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</row>
    <row r="476" spans="1:12" ht="12.75" x14ac:dyDescent="0.2">
      <c r="A476" s="123"/>
      <c r="B476" s="129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</row>
    <row r="477" spans="1:12" ht="12.75" x14ac:dyDescent="0.2">
      <c r="A477" s="123"/>
      <c r="B477" s="129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</row>
    <row r="478" spans="1:12" ht="12.75" x14ac:dyDescent="0.2">
      <c r="A478" s="123"/>
      <c r="B478" s="129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</row>
    <row r="479" spans="1:12" ht="12.75" x14ac:dyDescent="0.2">
      <c r="A479" s="123"/>
      <c r="B479" s="129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</row>
    <row r="480" spans="1:12" ht="12.75" x14ac:dyDescent="0.2">
      <c r="A480" s="123"/>
      <c r="B480" s="129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</row>
    <row r="481" spans="1:12" ht="12.75" x14ac:dyDescent="0.2">
      <c r="A481" s="123"/>
      <c r="B481" s="129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</row>
    <row r="482" spans="1:12" ht="12.75" x14ac:dyDescent="0.2">
      <c r="A482" s="123"/>
      <c r="B482" s="129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</row>
    <row r="483" spans="1:12" ht="12.75" x14ac:dyDescent="0.2">
      <c r="A483" s="123"/>
      <c r="B483" s="129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</row>
    <row r="484" spans="1:12" ht="12.75" x14ac:dyDescent="0.2">
      <c r="A484" s="123"/>
      <c r="B484" s="129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</row>
    <row r="485" spans="1:12" ht="12.75" x14ac:dyDescent="0.2">
      <c r="A485" s="123"/>
      <c r="B485" s="129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</row>
    <row r="486" spans="1:12" ht="12.75" x14ac:dyDescent="0.2">
      <c r="A486" s="123"/>
      <c r="B486" s="129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</row>
    <row r="487" spans="1:12" ht="12.75" x14ac:dyDescent="0.2">
      <c r="A487" s="123"/>
      <c r="B487" s="129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</row>
    <row r="488" spans="1:12" ht="12.75" x14ac:dyDescent="0.2">
      <c r="A488" s="123"/>
      <c r="B488" s="129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</row>
    <row r="489" spans="1:12" ht="12.75" x14ac:dyDescent="0.2">
      <c r="A489" s="123"/>
      <c r="B489" s="129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</row>
    <row r="490" spans="1:12" ht="12.75" x14ac:dyDescent="0.2">
      <c r="A490" s="123"/>
      <c r="B490" s="129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</row>
    <row r="491" spans="1:12" ht="12.75" x14ac:dyDescent="0.2">
      <c r="A491" s="123"/>
      <c r="B491" s="129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</row>
    <row r="492" spans="1:12" ht="12.75" x14ac:dyDescent="0.2">
      <c r="A492" s="123"/>
      <c r="B492" s="129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</row>
    <row r="493" spans="1:12" ht="12.75" x14ac:dyDescent="0.2">
      <c r="A493" s="123"/>
      <c r="B493" s="129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</row>
    <row r="494" spans="1:12" ht="12.75" x14ac:dyDescent="0.2">
      <c r="A494" s="123"/>
      <c r="B494" s="129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</row>
    <row r="495" spans="1:12" ht="12.75" x14ac:dyDescent="0.2">
      <c r="A495" s="123"/>
      <c r="B495" s="129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</row>
    <row r="496" spans="1:12" ht="12.75" x14ac:dyDescent="0.2">
      <c r="A496" s="123"/>
      <c r="B496" s="129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</row>
    <row r="497" spans="1:12" ht="12.75" x14ac:dyDescent="0.2">
      <c r="A497" s="123"/>
      <c r="B497" s="129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</row>
    <row r="498" spans="1:12" ht="12.75" x14ac:dyDescent="0.2">
      <c r="A498" s="123"/>
      <c r="B498" s="129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</row>
    <row r="499" spans="1:12" ht="12.75" x14ac:dyDescent="0.2">
      <c r="A499" s="123"/>
      <c r="B499" s="129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</row>
    <row r="500" spans="1:12" ht="12.75" x14ac:dyDescent="0.2">
      <c r="A500" s="123"/>
      <c r="B500" s="129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</row>
    <row r="501" spans="1:12" ht="12.75" x14ac:dyDescent="0.2">
      <c r="A501" s="123"/>
      <c r="B501" s="129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</row>
    <row r="502" spans="1:12" ht="12.75" x14ac:dyDescent="0.2">
      <c r="A502" s="123"/>
      <c r="B502" s="129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</row>
    <row r="503" spans="1:12" ht="12.75" x14ac:dyDescent="0.2">
      <c r="A503" s="123"/>
      <c r="B503" s="129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</row>
    <row r="504" spans="1:12" ht="12.75" x14ac:dyDescent="0.2">
      <c r="A504" s="123"/>
      <c r="B504" s="129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</row>
    <row r="505" spans="1:12" ht="12.75" x14ac:dyDescent="0.2">
      <c r="A505" s="123"/>
      <c r="B505" s="129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</row>
    <row r="506" spans="1:12" ht="12.75" x14ac:dyDescent="0.2">
      <c r="A506" s="123"/>
      <c r="B506" s="129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</row>
    <row r="507" spans="1:12" ht="12.75" x14ac:dyDescent="0.2">
      <c r="A507" s="123"/>
      <c r="B507" s="129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</row>
    <row r="508" spans="1:12" ht="12.75" x14ac:dyDescent="0.2">
      <c r="A508" s="123"/>
      <c r="B508" s="129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</row>
    <row r="509" spans="1:12" ht="12.75" x14ac:dyDescent="0.2">
      <c r="A509" s="123"/>
      <c r="B509" s="129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</row>
    <row r="510" spans="1:12" ht="12.75" x14ac:dyDescent="0.2">
      <c r="A510" s="123"/>
      <c r="B510" s="129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</row>
    <row r="511" spans="1:12" ht="12.75" x14ac:dyDescent="0.2">
      <c r="A511" s="123"/>
      <c r="B511" s="129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</row>
    <row r="512" spans="1:12" ht="12.75" x14ac:dyDescent="0.2">
      <c r="A512" s="123"/>
      <c r="B512" s="129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</row>
    <row r="513" spans="1:12" ht="12.75" x14ac:dyDescent="0.2">
      <c r="A513" s="123"/>
      <c r="B513" s="129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</row>
    <row r="514" spans="1:12" ht="12.75" x14ac:dyDescent="0.2">
      <c r="A514" s="123"/>
      <c r="B514" s="129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</row>
    <row r="515" spans="1:12" ht="12.75" x14ac:dyDescent="0.2">
      <c r="A515" s="123"/>
      <c r="B515" s="129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</row>
    <row r="516" spans="1:12" ht="12.75" x14ac:dyDescent="0.2">
      <c r="A516" s="123"/>
      <c r="B516" s="129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</row>
    <row r="517" spans="1:12" ht="12.75" x14ac:dyDescent="0.2">
      <c r="A517" s="123"/>
      <c r="B517" s="129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</row>
    <row r="518" spans="1:12" ht="12.75" x14ac:dyDescent="0.2">
      <c r="A518" s="123"/>
      <c r="B518" s="129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</row>
    <row r="519" spans="1:12" ht="12.75" x14ac:dyDescent="0.2">
      <c r="A519" s="123"/>
      <c r="B519" s="129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</row>
    <row r="520" spans="1:12" ht="12.75" x14ac:dyDescent="0.2">
      <c r="A520" s="123"/>
      <c r="B520" s="129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</row>
    <row r="521" spans="1:12" ht="12.75" x14ac:dyDescent="0.2">
      <c r="A521" s="123"/>
      <c r="B521" s="129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</row>
    <row r="522" spans="1:12" ht="12.75" x14ac:dyDescent="0.2">
      <c r="A522" s="123"/>
      <c r="B522" s="129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</row>
    <row r="523" spans="1:12" ht="12.75" x14ac:dyDescent="0.2">
      <c r="A523" s="123"/>
      <c r="B523" s="129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</row>
    <row r="524" spans="1:12" ht="12.75" x14ac:dyDescent="0.2">
      <c r="A524" s="123"/>
      <c r="B524" s="129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</row>
    <row r="525" spans="1:12" ht="12.75" x14ac:dyDescent="0.2">
      <c r="A525" s="123"/>
      <c r="B525" s="129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</row>
    <row r="526" spans="1:12" ht="12.75" x14ac:dyDescent="0.2">
      <c r="A526" s="123"/>
      <c r="B526" s="129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</row>
    <row r="527" spans="1:12" ht="12.75" x14ac:dyDescent="0.2">
      <c r="A527" s="123"/>
      <c r="B527" s="129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</row>
    <row r="528" spans="1:12" ht="12.75" x14ac:dyDescent="0.2">
      <c r="A528" s="123"/>
      <c r="B528" s="129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</row>
    <row r="529" spans="1:12" ht="12.75" x14ac:dyDescent="0.2">
      <c r="A529" s="123"/>
      <c r="B529" s="129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</row>
    <row r="530" spans="1:12" ht="12.75" x14ac:dyDescent="0.2">
      <c r="A530" s="123"/>
      <c r="B530" s="129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</row>
    <row r="531" spans="1:12" ht="12.75" x14ac:dyDescent="0.2">
      <c r="A531" s="123"/>
      <c r="B531" s="129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</row>
    <row r="532" spans="1:12" ht="12.75" x14ac:dyDescent="0.2">
      <c r="A532" s="123"/>
      <c r="B532" s="129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</row>
    <row r="533" spans="1:12" ht="12.75" x14ac:dyDescent="0.2">
      <c r="A533" s="123"/>
      <c r="B533" s="129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</row>
    <row r="534" spans="1:12" ht="12.75" x14ac:dyDescent="0.2">
      <c r="A534" s="123"/>
      <c r="B534" s="129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</row>
    <row r="535" spans="1:12" ht="12.75" x14ac:dyDescent="0.2">
      <c r="A535" s="123"/>
      <c r="B535" s="129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</row>
    <row r="536" spans="1:12" ht="12.75" x14ac:dyDescent="0.2">
      <c r="A536" s="123"/>
      <c r="B536" s="129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</row>
    <row r="537" spans="1:12" ht="12.75" x14ac:dyDescent="0.2">
      <c r="A537" s="123"/>
      <c r="B537" s="129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</row>
    <row r="538" spans="1:12" ht="12.75" x14ac:dyDescent="0.2">
      <c r="A538" s="123"/>
      <c r="B538" s="129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</row>
    <row r="539" spans="1:12" ht="12.75" x14ac:dyDescent="0.2">
      <c r="A539" s="123"/>
      <c r="B539" s="129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</row>
    <row r="540" spans="1:12" ht="12.75" x14ac:dyDescent="0.2">
      <c r="A540" s="123"/>
      <c r="B540" s="129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</row>
    <row r="541" spans="1:12" ht="12.75" x14ac:dyDescent="0.2">
      <c r="A541" s="123"/>
      <c r="B541" s="129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</row>
    <row r="542" spans="1:12" ht="12.75" x14ac:dyDescent="0.2">
      <c r="A542" s="123"/>
      <c r="B542" s="129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</row>
    <row r="543" spans="1:12" ht="12.75" x14ac:dyDescent="0.2">
      <c r="A543" s="123"/>
      <c r="B543" s="129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</row>
    <row r="544" spans="1:12" ht="12.75" x14ac:dyDescent="0.2">
      <c r="A544" s="123"/>
      <c r="B544" s="129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</row>
    <row r="545" spans="1:12" ht="12.75" x14ac:dyDescent="0.2">
      <c r="A545" s="123"/>
      <c r="B545" s="129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</row>
    <row r="546" spans="1:12" ht="12.75" x14ac:dyDescent="0.2">
      <c r="A546" s="123"/>
      <c r="B546" s="129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</row>
    <row r="547" spans="1:12" ht="12.75" x14ac:dyDescent="0.2">
      <c r="A547" s="123"/>
      <c r="B547" s="129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</row>
    <row r="548" spans="1:12" ht="12.75" x14ac:dyDescent="0.2">
      <c r="A548" s="123"/>
      <c r="B548" s="129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</row>
    <row r="549" spans="1:12" ht="12.75" x14ac:dyDescent="0.2">
      <c r="A549" s="123"/>
      <c r="B549" s="129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</row>
    <row r="550" spans="1:12" ht="12.75" x14ac:dyDescent="0.2">
      <c r="A550" s="123"/>
      <c r="B550" s="129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</row>
    <row r="551" spans="1:12" ht="12.75" x14ac:dyDescent="0.2">
      <c r="A551" s="123"/>
      <c r="B551" s="129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</row>
    <row r="552" spans="1:12" ht="12.75" x14ac:dyDescent="0.2">
      <c r="A552" s="123"/>
      <c r="B552" s="129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</row>
    <row r="553" spans="1:12" ht="12.75" x14ac:dyDescent="0.2">
      <c r="A553" s="123"/>
      <c r="B553" s="129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</row>
    <row r="554" spans="1:12" ht="12.75" x14ac:dyDescent="0.2">
      <c r="A554" s="123"/>
      <c r="B554" s="129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</row>
    <row r="555" spans="1:12" ht="12.75" x14ac:dyDescent="0.2">
      <c r="A555" s="123"/>
      <c r="B555" s="129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</row>
    <row r="556" spans="1:12" ht="12.75" x14ac:dyDescent="0.2">
      <c r="A556" s="123"/>
      <c r="B556" s="129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</row>
    <row r="557" spans="1:12" ht="12.75" x14ac:dyDescent="0.2">
      <c r="A557" s="123"/>
      <c r="B557" s="129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</row>
    <row r="558" spans="1:12" ht="12.75" x14ac:dyDescent="0.2">
      <c r="A558" s="123"/>
      <c r="B558" s="129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</row>
    <row r="559" spans="1:12" ht="12.75" x14ac:dyDescent="0.2">
      <c r="A559" s="123"/>
      <c r="B559" s="129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</row>
    <row r="560" spans="1:12" ht="12.75" x14ac:dyDescent="0.2">
      <c r="A560" s="123"/>
      <c r="B560" s="129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</row>
    <row r="561" spans="1:12" ht="12.75" x14ac:dyDescent="0.2">
      <c r="A561" s="123"/>
      <c r="B561" s="129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</row>
    <row r="562" spans="1:12" ht="12.75" x14ac:dyDescent="0.2">
      <c r="A562" s="123"/>
      <c r="B562" s="129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</row>
    <row r="563" spans="1:12" ht="12.75" x14ac:dyDescent="0.2">
      <c r="A563" s="123"/>
      <c r="B563" s="129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</row>
    <row r="564" spans="1:12" ht="12.75" x14ac:dyDescent="0.2">
      <c r="A564" s="123"/>
      <c r="B564" s="129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</row>
    <row r="565" spans="1:12" ht="12.75" x14ac:dyDescent="0.2">
      <c r="A565" s="123"/>
      <c r="B565" s="129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</row>
    <row r="566" spans="1:12" ht="12.75" x14ac:dyDescent="0.2">
      <c r="A566" s="123"/>
      <c r="B566" s="129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</row>
    <row r="567" spans="1:12" ht="12.75" x14ac:dyDescent="0.2">
      <c r="A567" s="123"/>
      <c r="B567" s="129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</row>
    <row r="568" spans="1:12" ht="12.75" x14ac:dyDescent="0.2">
      <c r="A568" s="123"/>
      <c r="B568" s="129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</row>
    <row r="569" spans="1:12" ht="12.75" x14ac:dyDescent="0.2">
      <c r="A569" s="123"/>
      <c r="B569" s="129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</row>
    <row r="570" spans="1:12" ht="12.75" x14ac:dyDescent="0.2">
      <c r="A570" s="123"/>
      <c r="B570" s="129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</row>
    <row r="571" spans="1:12" ht="12.75" x14ac:dyDescent="0.2">
      <c r="A571" s="123"/>
      <c r="B571" s="129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</row>
    <row r="572" spans="1:12" ht="12.75" x14ac:dyDescent="0.2">
      <c r="A572" s="123"/>
      <c r="B572" s="129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</row>
    <row r="573" spans="1:12" ht="12.75" x14ac:dyDescent="0.2">
      <c r="A573" s="123"/>
      <c r="B573" s="129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</row>
    <row r="574" spans="1:12" ht="12.75" x14ac:dyDescent="0.2">
      <c r="A574" s="123"/>
      <c r="B574" s="129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</row>
    <row r="575" spans="1:12" ht="12.75" x14ac:dyDescent="0.2">
      <c r="A575" s="123"/>
      <c r="B575" s="129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</row>
    <row r="576" spans="1:12" ht="12.75" x14ac:dyDescent="0.2">
      <c r="A576" s="123"/>
      <c r="B576" s="129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</row>
    <row r="577" spans="1:12" ht="12.75" x14ac:dyDescent="0.2">
      <c r="A577" s="123"/>
      <c r="B577" s="129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</row>
    <row r="578" spans="1:12" ht="12.75" x14ac:dyDescent="0.2">
      <c r="A578" s="123"/>
      <c r="B578" s="129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</row>
    <row r="579" spans="1:12" ht="12.75" x14ac:dyDescent="0.2">
      <c r="A579" s="123"/>
      <c r="B579" s="129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</row>
    <row r="580" spans="1:12" ht="12.75" x14ac:dyDescent="0.2">
      <c r="A580" s="123"/>
      <c r="B580" s="129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</row>
    <row r="581" spans="1:12" ht="12.75" x14ac:dyDescent="0.2">
      <c r="A581" s="123"/>
      <c r="B581" s="129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</row>
    <row r="582" spans="1:12" ht="12.75" x14ac:dyDescent="0.2">
      <c r="A582" s="123"/>
      <c r="B582" s="129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</row>
    <row r="583" spans="1:12" ht="12.75" x14ac:dyDescent="0.2">
      <c r="A583" s="123"/>
      <c r="B583" s="129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</row>
    <row r="584" spans="1:12" ht="12.75" x14ac:dyDescent="0.2">
      <c r="A584" s="123"/>
      <c r="B584" s="129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</row>
    <row r="585" spans="1:12" ht="12.75" x14ac:dyDescent="0.2">
      <c r="A585" s="123"/>
      <c r="B585" s="129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</row>
    <row r="586" spans="1:12" ht="12.75" x14ac:dyDescent="0.2">
      <c r="A586" s="123"/>
      <c r="B586" s="129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</row>
    <row r="587" spans="1:12" ht="12.75" x14ac:dyDescent="0.2">
      <c r="A587" s="123"/>
      <c r="B587" s="129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</row>
    <row r="588" spans="1:12" ht="12.75" x14ac:dyDescent="0.2">
      <c r="A588" s="123"/>
      <c r="B588" s="129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</row>
    <row r="589" spans="1:12" ht="12.75" x14ac:dyDescent="0.2">
      <c r="A589" s="123"/>
      <c r="B589" s="129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</row>
    <row r="590" spans="1:12" ht="12.75" x14ac:dyDescent="0.2">
      <c r="A590" s="123"/>
      <c r="B590" s="129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</row>
    <row r="591" spans="1:12" ht="12.75" x14ac:dyDescent="0.2">
      <c r="A591" s="123"/>
      <c r="B591" s="129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</row>
    <row r="592" spans="1:12" ht="12.75" x14ac:dyDescent="0.2">
      <c r="A592" s="123"/>
      <c r="B592" s="129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</row>
    <row r="593" spans="1:12" ht="12.75" x14ac:dyDescent="0.2">
      <c r="A593" s="123"/>
      <c r="B593" s="129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</row>
    <row r="594" spans="1:12" ht="12.75" x14ac:dyDescent="0.2">
      <c r="A594" s="123"/>
      <c r="B594" s="129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</row>
    <row r="595" spans="1:12" ht="12.75" x14ac:dyDescent="0.2">
      <c r="A595" s="123"/>
      <c r="B595" s="129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</row>
    <row r="596" spans="1:12" ht="12.75" x14ac:dyDescent="0.2">
      <c r="A596" s="123"/>
      <c r="B596" s="129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</row>
    <row r="597" spans="1:12" ht="12.75" x14ac:dyDescent="0.2">
      <c r="A597" s="123"/>
      <c r="B597" s="129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</row>
    <row r="598" spans="1:12" ht="12.75" x14ac:dyDescent="0.2">
      <c r="A598" s="123"/>
      <c r="B598" s="129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</row>
    <row r="599" spans="1:12" ht="12.75" x14ac:dyDescent="0.2">
      <c r="A599" s="123"/>
      <c r="B599" s="129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</row>
    <row r="600" spans="1:12" ht="12.75" x14ac:dyDescent="0.2">
      <c r="A600" s="123"/>
      <c r="B600" s="129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</row>
    <row r="601" spans="1:12" ht="12.75" x14ac:dyDescent="0.2">
      <c r="A601" s="123"/>
      <c r="B601" s="129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</row>
    <row r="602" spans="1:12" ht="12.75" x14ac:dyDescent="0.2">
      <c r="A602" s="123"/>
      <c r="B602" s="129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</row>
    <row r="603" spans="1:12" ht="12.75" x14ac:dyDescent="0.2">
      <c r="A603" s="123"/>
      <c r="B603" s="129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</row>
    <row r="604" spans="1:12" ht="12.75" x14ac:dyDescent="0.2">
      <c r="A604" s="123"/>
      <c r="B604" s="129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</row>
    <row r="605" spans="1:12" ht="12.75" x14ac:dyDescent="0.2">
      <c r="A605" s="123"/>
      <c r="B605" s="129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</row>
    <row r="606" spans="1:12" ht="12.75" x14ac:dyDescent="0.2">
      <c r="A606" s="123"/>
      <c r="B606" s="129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</row>
    <row r="607" spans="1:12" ht="12.75" x14ac:dyDescent="0.2">
      <c r="A607" s="123"/>
      <c r="B607" s="129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</row>
    <row r="608" spans="1:12" ht="12.75" x14ac:dyDescent="0.2">
      <c r="A608" s="123"/>
      <c r="B608" s="129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</row>
    <row r="609" spans="1:12" ht="12.75" x14ac:dyDescent="0.2">
      <c r="A609" s="123"/>
      <c r="B609" s="129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</row>
    <row r="610" spans="1:12" ht="12.75" x14ac:dyDescent="0.2">
      <c r="A610" s="123"/>
      <c r="B610" s="129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</row>
    <row r="611" spans="1:12" ht="12.75" x14ac:dyDescent="0.2">
      <c r="A611" s="123"/>
      <c r="B611" s="129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</row>
    <row r="612" spans="1:12" ht="12.75" x14ac:dyDescent="0.2">
      <c r="A612" s="123"/>
      <c r="B612" s="129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</row>
    <row r="613" spans="1:12" ht="12.75" x14ac:dyDescent="0.2">
      <c r="A613" s="123"/>
      <c r="B613" s="129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</row>
    <row r="614" spans="1:12" ht="12.75" x14ac:dyDescent="0.2">
      <c r="A614" s="123"/>
      <c r="B614" s="129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</row>
    <row r="615" spans="1:12" ht="12.75" x14ac:dyDescent="0.2">
      <c r="A615" s="123"/>
      <c r="B615" s="129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</row>
    <row r="616" spans="1:12" ht="12.75" x14ac:dyDescent="0.2">
      <c r="A616" s="123"/>
      <c r="B616" s="129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</row>
    <row r="617" spans="1:12" ht="12.75" x14ac:dyDescent="0.2">
      <c r="A617" s="123"/>
      <c r="B617" s="129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</row>
    <row r="618" spans="1:12" ht="12.75" x14ac:dyDescent="0.2">
      <c r="A618" s="123"/>
      <c r="B618" s="129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</row>
    <row r="619" spans="1:12" ht="12.75" x14ac:dyDescent="0.2">
      <c r="A619" s="123"/>
      <c r="B619" s="129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</row>
    <row r="620" spans="1:12" ht="12.75" x14ac:dyDescent="0.2">
      <c r="A620" s="123"/>
      <c r="B620" s="129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</row>
    <row r="621" spans="1:12" ht="12.75" x14ac:dyDescent="0.2">
      <c r="A621" s="123"/>
      <c r="B621" s="129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</row>
    <row r="622" spans="1:12" ht="12.75" x14ac:dyDescent="0.2">
      <c r="A622" s="123"/>
      <c r="B622" s="129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</row>
    <row r="623" spans="1:12" ht="12.75" x14ac:dyDescent="0.2">
      <c r="A623" s="123"/>
      <c r="B623" s="129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</row>
    <row r="624" spans="1:12" ht="12.75" x14ac:dyDescent="0.2">
      <c r="A624" s="123"/>
      <c r="B624" s="129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</row>
    <row r="625" spans="1:12" ht="12.75" x14ac:dyDescent="0.2">
      <c r="A625" s="123"/>
      <c r="B625" s="129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</row>
    <row r="626" spans="1:12" ht="12.75" x14ac:dyDescent="0.2">
      <c r="A626" s="123"/>
      <c r="B626" s="129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</row>
    <row r="627" spans="1:12" ht="12.75" x14ac:dyDescent="0.2">
      <c r="A627" s="123"/>
      <c r="B627" s="129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</row>
    <row r="628" spans="1:12" ht="12.75" x14ac:dyDescent="0.2">
      <c r="A628" s="123"/>
      <c r="B628" s="129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</row>
    <row r="629" spans="1:12" ht="12.75" x14ac:dyDescent="0.2">
      <c r="A629" s="123"/>
      <c r="B629" s="129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</row>
    <row r="630" spans="1:12" ht="12.75" x14ac:dyDescent="0.2">
      <c r="A630" s="123"/>
      <c r="B630" s="129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</row>
    <row r="631" spans="1:12" ht="12.75" x14ac:dyDescent="0.2">
      <c r="A631" s="123"/>
      <c r="B631" s="129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</row>
    <row r="632" spans="1:12" ht="12.75" x14ac:dyDescent="0.2">
      <c r="A632" s="123"/>
      <c r="B632" s="129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</row>
    <row r="633" spans="1:12" ht="12.75" x14ac:dyDescent="0.2">
      <c r="A633" s="123"/>
      <c r="B633" s="129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</row>
    <row r="634" spans="1:12" ht="12.75" x14ac:dyDescent="0.2">
      <c r="A634" s="123"/>
      <c r="B634" s="129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</row>
    <row r="635" spans="1:12" ht="12.75" x14ac:dyDescent="0.2">
      <c r="A635" s="123"/>
      <c r="B635" s="129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</row>
    <row r="636" spans="1:12" ht="12.75" x14ac:dyDescent="0.2">
      <c r="A636" s="123"/>
      <c r="B636" s="129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</row>
    <row r="637" spans="1:12" ht="12.75" x14ac:dyDescent="0.2">
      <c r="A637" s="123"/>
      <c r="B637" s="129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</row>
    <row r="638" spans="1:12" ht="12.75" x14ac:dyDescent="0.2">
      <c r="A638" s="123"/>
      <c r="B638" s="129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</row>
    <row r="639" spans="1:12" ht="12.75" x14ac:dyDescent="0.2">
      <c r="A639" s="123"/>
      <c r="B639" s="129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</row>
    <row r="640" spans="1:12" ht="12.75" x14ac:dyDescent="0.2">
      <c r="A640" s="123"/>
      <c r="B640" s="129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</row>
    <row r="641" spans="1:12" ht="12.75" x14ac:dyDescent="0.2">
      <c r="A641" s="123"/>
      <c r="B641" s="129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</row>
    <row r="642" spans="1:12" ht="12.75" x14ac:dyDescent="0.2">
      <c r="A642" s="123"/>
      <c r="B642" s="129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</row>
    <row r="643" spans="1:12" ht="12.75" x14ac:dyDescent="0.2">
      <c r="A643" s="123"/>
      <c r="B643" s="129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</row>
    <row r="644" spans="1:12" ht="12.75" x14ac:dyDescent="0.2">
      <c r="A644" s="123"/>
      <c r="B644" s="129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</row>
    <row r="645" spans="1:12" ht="12.75" x14ac:dyDescent="0.2">
      <c r="A645" s="123"/>
      <c r="B645" s="129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</row>
    <row r="646" spans="1:12" ht="12.75" x14ac:dyDescent="0.2">
      <c r="A646" s="123"/>
      <c r="B646" s="129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</row>
    <row r="647" spans="1:12" ht="12.75" x14ac:dyDescent="0.2">
      <c r="A647" s="123"/>
      <c r="B647" s="129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</row>
    <row r="648" spans="1:12" ht="12.75" x14ac:dyDescent="0.2">
      <c r="A648" s="123"/>
      <c r="B648" s="129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</row>
    <row r="649" spans="1:12" ht="12.75" x14ac:dyDescent="0.2">
      <c r="A649" s="123"/>
      <c r="B649" s="129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</row>
    <row r="650" spans="1:12" ht="12.75" x14ac:dyDescent="0.2">
      <c r="A650" s="123"/>
      <c r="B650" s="129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</row>
    <row r="651" spans="1:12" ht="12.75" x14ac:dyDescent="0.2">
      <c r="A651" s="123"/>
      <c r="B651" s="129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</row>
    <row r="652" spans="1:12" ht="12.75" x14ac:dyDescent="0.2">
      <c r="A652" s="123"/>
      <c r="B652" s="129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</row>
    <row r="653" spans="1:12" ht="12.75" x14ac:dyDescent="0.2">
      <c r="A653" s="123"/>
      <c r="B653" s="129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</row>
    <row r="654" spans="1:12" ht="12.75" x14ac:dyDescent="0.2">
      <c r="A654" s="123"/>
      <c r="B654" s="129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</row>
    <row r="655" spans="1:12" ht="12.75" x14ac:dyDescent="0.2">
      <c r="A655" s="123"/>
      <c r="B655" s="129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</row>
    <row r="656" spans="1:12" ht="12.75" x14ac:dyDescent="0.2">
      <c r="A656" s="123"/>
      <c r="B656" s="129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</row>
    <row r="657" spans="1:12" ht="12.75" x14ac:dyDescent="0.2">
      <c r="A657" s="123"/>
      <c r="B657" s="129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</row>
    <row r="658" spans="1:12" ht="12.75" x14ac:dyDescent="0.2">
      <c r="A658" s="123"/>
      <c r="B658" s="129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</row>
    <row r="659" spans="1:12" ht="12.75" x14ac:dyDescent="0.2">
      <c r="A659" s="123"/>
      <c r="B659" s="129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</row>
    <row r="660" spans="1:12" ht="12.75" x14ac:dyDescent="0.2">
      <c r="A660" s="123"/>
      <c r="B660" s="129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</row>
    <row r="661" spans="1:12" ht="12.75" x14ac:dyDescent="0.2">
      <c r="A661" s="123"/>
      <c r="B661" s="129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</row>
    <row r="662" spans="1:12" ht="12.75" x14ac:dyDescent="0.2">
      <c r="A662" s="123"/>
      <c r="B662" s="129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</row>
    <row r="663" spans="1:12" ht="12.75" x14ac:dyDescent="0.2">
      <c r="A663" s="123"/>
      <c r="B663" s="129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</row>
    <row r="664" spans="1:12" ht="12.75" x14ac:dyDescent="0.2">
      <c r="A664" s="123"/>
      <c r="B664" s="129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</row>
    <row r="665" spans="1:12" ht="12.75" x14ac:dyDescent="0.2">
      <c r="A665" s="123"/>
      <c r="B665" s="129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</row>
    <row r="666" spans="1:12" ht="12.75" x14ac:dyDescent="0.2">
      <c r="A666" s="123"/>
      <c r="B666" s="129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</row>
    <row r="667" spans="1:12" ht="12.75" x14ac:dyDescent="0.2">
      <c r="A667" s="123"/>
      <c r="B667" s="129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</row>
    <row r="668" spans="1:12" ht="12.75" x14ac:dyDescent="0.2">
      <c r="A668" s="123"/>
      <c r="B668" s="129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</row>
    <row r="669" spans="1:12" ht="12.75" x14ac:dyDescent="0.2">
      <c r="A669" s="123"/>
      <c r="B669" s="129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</row>
    <row r="670" spans="1:12" ht="12.75" x14ac:dyDescent="0.2">
      <c r="A670" s="123"/>
      <c r="B670" s="129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</row>
    <row r="671" spans="1:12" ht="12.75" x14ac:dyDescent="0.2">
      <c r="A671" s="123"/>
      <c r="B671" s="129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</row>
    <row r="672" spans="1:12" ht="12.75" x14ac:dyDescent="0.2">
      <c r="A672" s="123"/>
      <c r="B672" s="129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</row>
    <row r="673" spans="1:12" ht="12.75" x14ac:dyDescent="0.2">
      <c r="A673" s="123"/>
      <c r="B673" s="129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</row>
    <row r="674" spans="1:12" ht="12.75" x14ac:dyDescent="0.2">
      <c r="A674" s="123"/>
      <c r="B674" s="129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</row>
    <row r="675" spans="1:12" ht="12.75" x14ac:dyDescent="0.2">
      <c r="A675" s="123"/>
      <c r="B675" s="129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</row>
    <row r="676" spans="1:12" ht="12.75" x14ac:dyDescent="0.2">
      <c r="A676" s="123"/>
      <c r="B676" s="129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</row>
    <row r="677" spans="1:12" ht="12.75" x14ac:dyDescent="0.2">
      <c r="A677" s="123"/>
      <c r="B677" s="129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</row>
    <row r="678" spans="1:12" ht="12.75" x14ac:dyDescent="0.2">
      <c r="A678" s="123"/>
      <c r="B678" s="129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</row>
    <row r="679" spans="1:12" ht="12.75" x14ac:dyDescent="0.2">
      <c r="A679" s="123"/>
      <c r="B679" s="129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</row>
    <row r="680" spans="1:12" ht="12.75" x14ac:dyDescent="0.2">
      <c r="A680" s="123"/>
      <c r="B680" s="129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</row>
    <row r="681" spans="1:12" ht="12.75" x14ac:dyDescent="0.2">
      <c r="A681" s="123"/>
      <c r="B681" s="129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</row>
    <row r="682" spans="1:12" ht="12.75" x14ac:dyDescent="0.2">
      <c r="A682" s="123"/>
      <c r="B682" s="129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</row>
    <row r="683" spans="1:12" ht="12.75" x14ac:dyDescent="0.2">
      <c r="A683" s="123"/>
      <c r="B683" s="129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</row>
    <row r="684" spans="1:12" ht="12.75" x14ac:dyDescent="0.2">
      <c r="A684" s="123"/>
      <c r="B684" s="129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</row>
    <row r="685" spans="1:12" ht="12.75" x14ac:dyDescent="0.2">
      <c r="A685" s="123"/>
      <c r="B685" s="129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</row>
    <row r="686" spans="1:12" ht="12.75" x14ac:dyDescent="0.2">
      <c r="A686" s="123"/>
      <c r="B686" s="129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</row>
    <row r="687" spans="1:12" ht="12.75" x14ac:dyDescent="0.2">
      <c r="A687" s="123"/>
      <c r="B687" s="129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</row>
    <row r="688" spans="1:12" ht="12.75" x14ac:dyDescent="0.2">
      <c r="A688" s="123"/>
      <c r="B688" s="129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</row>
    <row r="689" spans="1:12" ht="12.75" x14ac:dyDescent="0.2">
      <c r="A689" s="123"/>
      <c r="B689" s="129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</row>
    <row r="690" spans="1:12" ht="12.75" x14ac:dyDescent="0.2">
      <c r="A690" s="123"/>
      <c r="B690" s="129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</row>
    <row r="691" spans="1:12" ht="12.75" x14ac:dyDescent="0.2">
      <c r="A691" s="123"/>
      <c r="B691" s="129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</row>
    <row r="692" spans="1:12" ht="12.75" x14ac:dyDescent="0.2">
      <c r="A692" s="123"/>
      <c r="B692" s="129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</row>
    <row r="693" spans="1:12" ht="12.75" x14ac:dyDescent="0.2">
      <c r="A693" s="123"/>
      <c r="B693" s="129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</row>
    <row r="694" spans="1:12" ht="12.75" x14ac:dyDescent="0.2">
      <c r="A694" s="123"/>
      <c r="B694" s="129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</row>
    <row r="695" spans="1:12" ht="12.75" x14ac:dyDescent="0.2">
      <c r="A695" s="123"/>
      <c r="B695" s="129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</row>
    <row r="696" spans="1:12" ht="12.75" x14ac:dyDescent="0.2">
      <c r="A696" s="123"/>
      <c r="B696" s="129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</row>
    <row r="697" spans="1:12" ht="12.75" x14ac:dyDescent="0.2">
      <c r="A697" s="123"/>
      <c r="B697" s="129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</row>
    <row r="698" spans="1:12" ht="12.75" x14ac:dyDescent="0.2">
      <c r="A698" s="123"/>
      <c r="B698" s="129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</row>
    <row r="699" spans="1:12" ht="12.75" x14ac:dyDescent="0.2">
      <c r="A699" s="123"/>
      <c r="B699" s="129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</row>
    <row r="700" spans="1:12" ht="12.75" x14ac:dyDescent="0.2">
      <c r="A700" s="123"/>
      <c r="B700" s="129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</row>
    <row r="701" spans="1:12" ht="12.75" x14ac:dyDescent="0.2">
      <c r="A701" s="123"/>
      <c r="B701" s="129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</row>
    <row r="702" spans="1:12" ht="12.75" x14ac:dyDescent="0.2">
      <c r="A702" s="123"/>
      <c r="B702" s="129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</row>
    <row r="703" spans="1:12" ht="12.75" x14ac:dyDescent="0.2">
      <c r="A703" s="123"/>
      <c r="B703" s="129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</row>
    <row r="704" spans="1:12" ht="12.75" x14ac:dyDescent="0.2">
      <c r="A704" s="123"/>
      <c r="B704" s="129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</row>
    <row r="705" spans="1:12" ht="12.75" x14ac:dyDescent="0.2">
      <c r="A705" s="123"/>
      <c r="B705" s="129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</row>
    <row r="706" spans="1:12" ht="12.75" x14ac:dyDescent="0.2">
      <c r="A706" s="123"/>
      <c r="B706" s="129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</row>
    <row r="707" spans="1:12" ht="12.75" x14ac:dyDescent="0.2">
      <c r="A707" s="123"/>
      <c r="B707" s="129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</row>
    <row r="708" spans="1:12" ht="12.75" x14ac:dyDescent="0.2">
      <c r="A708" s="123"/>
      <c r="B708" s="129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</row>
    <row r="709" spans="1:12" ht="12.75" x14ac:dyDescent="0.2">
      <c r="A709" s="123"/>
      <c r="B709" s="129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</row>
    <row r="710" spans="1:12" ht="12.75" x14ac:dyDescent="0.2">
      <c r="A710" s="123"/>
      <c r="B710" s="129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</row>
    <row r="711" spans="1:12" ht="12.75" x14ac:dyDescent="0.2">
      <c r="A711" s="123"/>
      <c r="B711" s="129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</row>
    <row r="712" spans="1:12" ht="12.75" x14ac:dyDescent="0.2">
      <c r="A712" s="123"/>
      <c r="B712" s="129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</row>
    <row r="713" spans="1:12" ht="12.75" x14ac:dyDescent="0.2">
      <c r="A713" s="123"/>
      <c r="B713" s="129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</row>
    <row r="714" spans="1:12" ht="12.75" x14ac:dyDescent="0.2">
      <c r="A714" s="123"/>
      <c r="B714" s="129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</row>
    <row r="715" spans="1:12" ht="12.75" x14ac:dyDescent="0.2">
      <c r="A715" s="123"/>
      <c r="B715" s="129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</row>
    <row r="716" spans="1:12" ht="12.75" x14ac:dyDescent="0.2">
      <c r="A716" s="123"/>
      <c r="B716" s="129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</row>
    <row r="717" spans="1:12" ht="12.75" x14ac:dyDescent="0.2">
      <c r="A717" s="123"/>
      <c r="B717" s="129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</row>
    <row r="718" spans="1:12" ht="12.75" x14ac:dyDescent="0.2">
      <c r="A718" s="123"/>
      <c r="B718" s="129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</row>
    <row r="719" spans="1:12" ht="12.75" x14ac:dyDescent="0.2">
      <c r="A719" s="123"/>
      <c r="B719" s="129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</row>
    <row r="720" spans="1:12" ht="12.75" x14ac:dyDescent="0.2">
      <c r="A720" s="123"/>
      <c r="B720" s="129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</row>
    <row r="721" spans="1:12" ht="12.75" x14ac:dyDescent="0.2">
      <c r="A721" s="123"/>
      <c r="B721" s="129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</row>
    <row r="722" spans="1:12" ht="12.75" x14ac:dyDescent="0.2">
      <c r="A722" s="123"/>
      <c r="B722" s="129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</row>
    <row r="723" spans="1:12" ht="12.75" x14ac:dyDescent="0.2">
      <c r="A723" s="123"/>
      <c r="B723" s="129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</row>
    <row r="724" spans="1:12" ht="12.75" x14ac:dyDescent="0.2">
      <c r="A724" s="123"/>
      <c r="B724" s="129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</row>
    <row r="725" spans="1:12" ht="12.75" x14ac:dyDescent="0.2">
      <c r="A725" s="123"/>
      <c r="B725" s="129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</row>
    <row r="726" spans="1:12" ht="12.75" x14ac:dyDescent="0.2">
      <c r="A726" s="123"/>
      <c r="B726" s="129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</row>
    <row r="727" spans="1:12" ht="12.75" x14ac:dyDescent="0.2">
      <c r="A727" s="123"/>
      <c r="B727" s="129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</row>
    <row r="728" spans="1:12" ht="12.75" x14ac:dyDescent="0.2">
      <c r="A728" s="123"/>
      <c r="B728" s="129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</row>
    <row r="729" spans="1:12" ht="12.75" x14ac:dyDescent="0.2">
      <c r="A729" s="123"/>
      <c r="B729" s="129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</row>
    <row r="730" spans="1:12" ht="12.75" x14ac:dyDescent="0.2">
      <c r="A730" s="123"/>
      <c r="B730" s="129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</row>
    <row r="731" spans="1:12" ht="12.75" x14ac:dyDescent="0.2">
      <c r="A731" s="123"/>
      <c r="B731" s="129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</row>
    <row r="732" spans="1:12" ht="12.75" x14ac:dyDescent="0.2">
      <c r="A732" s="123"/>
      <c r="B732" s="129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</row>
    <row r="733" spans="1:12" ht="12.75" x14ac:dyDescent="0.2">
      <c r="A733" s="123"/>
      <c r="B733" s="129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</row>
    <row r="734" spans="1:12" ht="12.75" x14ac:dyDescent="0.2">
      <c r="A734" s="123"/>
      <c r="B734" s="129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</row>
    <row r="735" spans="1:12" ht="12.75" x14ac:dyDescent="0.2">
      <c r="A735" s="123"/>
      <c r="B735" s="129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</row>
    <row r="736" spans="1:12" ht="12.75" x14ac:dyDescent="0.2">
      <c r="A736" s="123"/>
      <c r="B736" s="129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</row>
    <row r="737" spans="1:12" ht="12.75" x14ac:dyDescent="0.2">
      <c r="A737" s="123"/>
      <c r="B737" s="129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</row>
    <row r="738" spans="1:12" ht="12.75" x14ac:dyDescent="0.2">
      <c r="A738" s="123"/>
      <c r="B738" s="129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</row>
    <row r="739" spans="1:12" ht="12.75" x14ac:dyDescent="0.2">
      <c r="A739" s="123"/>
      <c r="B739" s="129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</row>
    <row r="740" spans="1:12" ht="12.75" x14ac:dyDescent="0.2">
      <c r="A740" s="123"/>
      <c r="B740" s="129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</row>
    <row r="741" spans="1:12" ht="12.75" x14ac:dyDescent="0.2">
      <c r="A741" s="123"/>
      <c r="B741" s="129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</row>
    <row r="742" spans="1:12" ht="12.75" x14ac:dyDescent="0.2">
      <c r="A742" s="123"/>
      <c r="B742" s="129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</row>
    <row r="743" spans="1:12" ht="12.75" x14ac:dyDescent="0.2">
      <c r="A743" s="123"/>
      <c r="B743" s="129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</row>
    <row r="744" spans="1:12" ht="12.75" x14ac:dyDescent="0.2">
      <c r="A744" s="123"/>
      <c r="B744" s="129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</row>
    <row r="745" spans="1:12" ht="12.75" x14ac:dyDescent="0.2">
      <c r="A745" s="123"/>
      <c r="B745" s="129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</row>
    <row r="746" spans="1:12" ht="12.75" x14ac:dyDescent="0.2">
      <c r="A746" s="123"/>
      <c r="B746" s="129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</row>
    <row r="747" spans="1:12" ht="12.75" x14ac:dyDescent="0.2">
      <c r="A747" s="123"/>
      <c r="B747" s="129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</row>
    <row r="748" spans="1:12" ht="12.75" x14ac:dyDescent="0.2">
      <c r="A748" s="123"/>
      <c r="B748" s="129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</row>
    <row r="749" spans="1:12" ht="12.75" x14ac:dyDescent="0.2">
      <c r="A749" s="123"/>
      <c r="B749" s="129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</row>
    <row r="750" spans="1:12" ht="12.75" x14ac:dyDescent="0.2">
      <c r="A750" s="123"/>
      <c r="B750" s="129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</row>
    <row r="751" spans="1:12" ht="12.75" x14ac:dyDescent="0.2">
      <c r="A751" s="123"/>
      <c r="B751" s="129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</row>
    <row r="752" spans="1:12" ht="12.75" x14ac:dyDescent="0.2">
      <c r="A752" s="123"/>
      <c r="B752" s="129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</row>
    <row r="753" spans="1:12" ht="12.75" x14ac:dyDescent="0.2">
      <c r="A753" s="123"/>
      <c r="B753" s="129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</row>
    <row r="754" spans="1:12" ht="12.75" x14ac:dyDescent="0.2">
      <c r="A754" s="123"/>
      <c r="B754" s="129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</row>
    <row r="755" spans="1:12" ht="12.75" x14ac:dyDescent="0.2">
      <c r="A755" s="123"/>
      <c r="B755" s="129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</row>
    <row r="756" spans="1:12" ht="12.75" x14ac:dyDescent="0.2">
      <c r="A756" s="123"/>
      <c r="B756" s="129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</row>
    <row r="757" spans="1:12" ht="12.75" x14ac:dyDescent="0.2">
      <c r="A757" s="123"/>
      <c r="B757" s="129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</row>
    <row r="758" spans="1:12" ht="12.75" x14ac:dyDescent="0.2">
      <c r="A758" s="123"/>
      <c r="B758" s="129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</row>
    <row r="759" spans="1:12" ht="12.75" x14ac:dyDescent="0.2">
      <c r="A759" s="123"/>
      <c r="B759" s="129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</row>
    <row r="760" spans="1:12" ht="12.75" x14ac:dyDescent="0.2">
      <c r="A760" s="123"/>
      <c r="B760" s="129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</row>
    <row r="761" spans="1:12" ht="12.75" x14ac:dyDescent="0.2">
      <c r="A761" s="123"/>
      <c r="B761" s="129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</row>
    <row r="762" spans="1:12" ht="12.75" x14ac:dyDescent="0.2">
      <c r="A762" s="123"/>
      <c r="B762" s="129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</row>
    <row r="763" spans="1:12" ht="12.75" x14ac:dyDescent="0.2">
      <c r="A763" s="123"/>
      <c r="B763" s="129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</row>
    <row r="764" spans="1:12" ht="12.75" x14ac:dyDescent="0.2">
      <c r="A764" s="123"/>
      <c r="B764" s="129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</row>
    <row r="765" spans="1:12" ht="12.75" x14ac:dyDescent="0.2">
      <c r="A765" s="123"/>
      <c r="B765" s="129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</row>
    <row r="766" spans="1:12" ht="12.75" x14ac:dyDescent="0.2">
      <c r="A766" s="123"/>
      <c r="B766" s="129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</row>
    <row r="767" spans="1:12" ht="12.75" x14ac:dyDescent="0.2">
      <c r="A767" s="123"/>
      <c r="B767" s="129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</row>
    <row r="768" spans="1:12" ht="12.75" x14ac:dyDescent="0.2">
      <c r="A768" s="123"/>
      <c r="B768" s="129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</row>
    <row r="769" spans="1:12" ht="12.75" x14ac:dyDescent="0.2">
      <c r="A769" s="123"/>
      <c r="B769" s="129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</row>
    <row r="770" spans="1:12" ht="12.75" x14ac:dyDescent="0.2">
      <c r="A770" s="123"/>
      <c r="B770" s="129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</row>
    <row r="771" spans="1:12" ht="12.75" x14ac:dyDescent="0.2">
      <c r="A771" s="123"/>
      <c r="B771" s="129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</row>
    <row r="772" spans="1:12" ht="12.75" x14ac:dyDescent="0.2">
      <c r="A772" s="123"/>
      <c r="B772" s="129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</row>
    <row r="773" spans="1:12" ht="12.75" x14ac:dyDescent="0.2">
      <c r="A773" s="123"/>
      <c r="B773" s="129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</row>
    <row r="774" spans="1:12" ht="12.75" x14ac:dyDescent="0.2">
      <c r="A774" s="123"/>
      <c r="B774" s="129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</row>
    <row r="775" spans="1:12" ht="12.75" x14ac:dyDescent="0.2">
      <c r="A775" s="123"/>
      <c r="B775" s="129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</row>
    <row r="776" spans="1:12" ht="12.75" x14ac:dyDescent="0.2">
      <c r="A776" s="123"/>
      <c r="B776" s="129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</row>
    <row r="777" spans="1:12" ht="12.75" x14ac:dyDescent="0.2">
      <c r="A777" s="123"/>
      <c r="B777" s="129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</row>
    <row r="778" spans="1:12" ht="12.75" x14ac:dyDescent="0.2">
      <c r="A778" s="123"/>
      <c r="B778" s="129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</row>
    <row r="779" spans="1:12" ht="12.75" x14ac:dyDescent="0.2">
      <c r="A779" s="123"/>
      <c r="B779" s="129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</row>
    <row r="780" spans="1:12" ht="12.75" x14ac:dyDescent="0.2">
      <c r="A780" s="123"/>
      <c r="B780" s="129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</row>
    <row r="781" spans="1:12" ht="12.75" x14ac:dyDescent="0.2">
      <c r="A781" s="123"/>
      <c r="B781" s="129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</row>
    <row r="782" spans="1:12" ht="12.75" x14ac:dyDescent="0.2">
      <c r="A782" s="123"/>
      <c r="B782" s="129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</row>
    <row r="783" spans="1:12" ht="12.75" x14ac:dyDescent="0.2">
      <c r="A783" s="123"/>
      <c r="B783" s="129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</row>
    <row r="784" spans="1:12" ht="12.75" x14ac:dyDescent="0.2">
      <c r="A784" s="123"/>
      <c r="B784" s="129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</row>
    <row r="785" spans="1:12" ht="12.75" x14ac:dyDescent="0.2">
      <c r="A785" s="123"/>
      <c r="B785" s="129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</row>
    <row r="786" spans="1:12" ht="12.75" x14ac:dyDescent="0.2">
      <c r="A786" s="123"/>
      <c r="B786" s="129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</row>
    <row r="787" spans="1:12" ht="12.75" x14ac:dyDescent="0.2">
      <c r="A787" s="123"/>
      <c r="B787" s="129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</row>
    <row r="788" spans="1:12" ht="12.75" x14ac:dyDescent="0.2">
      <c r="A788" s="123"/>
      <c r="B788" s="129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</row>
    <row r="789" spans="1:12" ht="12.75" x14ac:dyDescent="0.2">
      <c r="A789" s="123"/>
      <c r="B789" s="129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</row>
    <row r="790" spans="1:12" ht="12.75" x14ac:dyDescent="0.2">
      <c r="A790" s="123"/>
      <c r="B790" s="129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</row>
    <row r="791" spans="1:12" ht="12.75" x14ac:dyDescent="0.2">
      <c r="A791" s="123"/>
      <c r="B791" s="129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</row>
    <row r="792" spans="1:12" ht="12.75" x14ac:dyDescent="0.2">
      <c r="A792" s="123"/>
      <c r="B792" s="129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</row>
    <row r="793" spans="1:12" ht="12.75" x14ac:dyDescent="0.2">
      <c r="A793" s="123"/>
      <c r="B793" s="129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</row>
    <row r="794" spans="1:12" ht="12.75" x14ac:dyDescent="0.2">
      <c r="A794" s="123"/>
      <c r="B794" s="129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</row>
    <row r="795" spans="1:12" ht="12.75" x14ac:dyDescent="0.2">
      <c r="A795" s="123"/>
      <c r="B795" s="129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</row>
    <row r="796" spans="1:12" ht="12.75" x14ac:dyDescent="0.2">
      <c r="A796" s="123"/>
      <c r="B796" s="129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</row>
    <row r="797" spans="1:12" ht="12.75" x14ac:dyDescent="0.2">
      <c r="A797" s="123"/>
      <c r="B797" s="129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</row>
    <row r="798" spans="1:12" ht="12.75" x14ac:dyDescent="0.2">
      <c r="A798" s="123"/>
      <c r="B798" s="129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</row>
    <row r="799" spans="1:12" ht="12.75" x14ac:dyDescent="0.2">
      <c r="A799" s="123"/>
      <c r="B799" s="129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</row>
    <row r="800" spans="1:12" ht="12.75" x14ac:dyDescent="0.2">
      <c r="A800" s="123"/>
      <c r="B800" s="129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</row>
    <row r="801" spans="1:12" ht="12.75" x14ac:dyDescent="0.2">
      <c r="A801" s="123"/>
      <c r="B801" s="129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</row>
    <row r="802" spans="1:12" ht="12.75" x14ac:dyDescent="0.2">
      <c r="A802" s="123"/>
      <c r="B802" s="129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</row>
    <row r="803" spans="1:12" ht="12.75" x14ac:dyDescent="0.2">
      <c r="A803" s="123"/>
      <c r="B803" s="129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</row>
    <row r="804" spans="1:12" ht="12.75" x14ac:dyDescent="0.2">
      <c r="A804" s="123"/>
      <c r="B804" s="129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</row>
    <row r="805" spans="1:12" ht="12.75" x14ac:dyDescent="0.2">
      <c r="A805" s="123"/>
      <c r="B805" s="129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</row>
    <row r="806" spans="1:12" ht="12.75" x14ac:dyDescent="0.2">
      <c r="A806" s="123"/>
      <c r="B806" s="129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</row>
    <row r="807" spans="1:12" ht="12.75" x14ac:dyDescent="0.2">
      <c r="A807" s="123"/>
      <c r="B807" s="129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</row>
    <row r="808" spans="1:12" ht="12.75" x14ac:dyDescent="0.2">
      <c r="A808" s="123"/>
      <c r="B808" s="129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</row>
    <row r="809" spans="1:12" ht="12.75" x14ac:dyDescent="0.2">
      <c r="A809" s="123"/>
      <c r="B809" s="129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</row>
    <row r="810" spans="1:12" ht="12.75" x14ac:dyDescent="0.2">
      <c r="A810" s="123"/>
      <c r="B810" s="129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</row>
    <row r="811" spans="1:12" ht="12.75" x14ac:dyDescent="0.2">
      <c r="A811" s="123"/>
      <c r="B811" s="129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</row>
    <row r="812" spans="1:12" ht="12.75" x14ac:dyDescent="0.2">
      <c r="A812" s="123"/>
      <c r="B812" s="129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</row>
    <row r="813" spans="1:12" ht="12.75" x14ac:dyDescent="0.2">
      <c r="A813" s="123"/>
      <c r="B813" s="129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</row>
    <row r="814" spans="1:12" ht="12.75" x14ac:dyDescent="0.2">
      <c r="A814" s="123"/>
      <c r="B814" s="129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</row>
    <row r="815" spans="1:12" ht="12.75" x14ac:dyDescent="0.2">
      <c r="A815" s="123"/>
      <c r="B815" s="129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</row>
    <row r="816" spans="1:12" ht="12.75" x14ac:dyDescent="0.2">
      <c r="A816" s="123"/>
      <c r="B816" s="129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</row>
    <row r="817" spans="1:12" ht="12.75" x14ac:dyDescent="0.2">
      <c r="A817" s="123"/>
      <c r="B817" s="129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</row>
    <row r="818" spans="1:12" ht="12.75" x14ac:dyDescent="0.2">
      <c r="A818" s="123"/>
      <c r="B818" s="129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</row>
    <row r="819" spans="1:12" ht="12.75" x14ac:dyDescent="0.2">
      <c r="A819" s="123"/>
      <c r="B819" s="129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</row>
    <row r="820" spans="1:12" ht="12.75" x14ac:dyDescent="0.2">
      <c r="A820" s="123"/>
      <c r="B820" s="129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</row>
    <row r="821" spans="1:12" ht="12.75" x14ac:dyDescent="0.2">
      <c r="A821" s="123"/>
      <c r="B821" s="129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</row>
    <row r="822" spans="1:12" ht="12.75" x14ac:dyDescent="0.2">
      <c r="A822" s="123"/>
      <c r="B822" s="129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</row>
    <row r="823" spans="1:12" ht="12.75" x14ac:dyDescent="0.2">
      <c r="A823" s="123"/>
      <c r="B823" s="129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</row>
    <row r="824" spans="1:12" ht="12.75" x14ac:dyDescent="0.2">
      <c r="A824" s="123"/>
      <c r="B824" s="129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</row>
    <row r="825" spans="1:12" ht="12.75" x14ac:dyDescent="0.2">
      <c r="A825" s="123"/>
      <c r="B825" s="129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</row>
    <row r="826" spans="1:12" ht="12.75" x14ac:dyDescent="0.2">
      <c r="A826" s="123"/>
      <c r="B826" s="129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</row>
    <row r="827" spans="1:12" ht="12.75" x14ac:dyDescent="0.2">
      <c r="A827" s="123"/>
      <c r="B827" s="129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</row>
    <row r="828" spans="1:12" ht="12.75" x14ac:dyDescent="0.2">
      <c r="A828" s="123"/>
      <c r="B828" s="129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</row>
    <row r="829" spans="1:12" ht="12.75" x14ac:dyDescent="0.2">
      <c r="A829" s="123"/>
      <c r="B829" s="129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</row>
    <row r="830" spans="1:12" ht="12.75" x14ac:dyDescent="0.2">
      <c r="A830" s="123"/>
      <c r="B830" s="129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</row>
    <row r="831" spans="1:12" ht="12.75" x14ac:dyDescent="0.2">
      <c r="A831" s="123"/>
      <c r="B831" s="129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</row>
    <row r="832" spans="1:12" ht="12.75" x14ac:dyDescent="0.2">
      <c r="A832" s="123"/>
      <c r="B832" s="129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</row>
    <row r="833" spans="1:12" ht="12.75" x14ac:dyDescent="0.2">
      <c r="A833" s="123"/>
      <c r="B833" s="129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</row>
    <row r="834" spans="1:12" ht="12.75" x14ac:dyDescent="0.2">
      <c r="A834" s="123"/>
      <c r="B834" s="129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</row>
    <row r="835" spans="1:12" ht="12.75" x14ac:dyDescent="0.2">
      <c r="A835" s="123"/>
      <c r="B835" s="129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</row>
    <row r="836" spans="1:12" ht="12.75" x14ac:dyDescent="0.2">
      <c r="A836" s="123"/>
      <c r="B836" s="129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</row>
    <row r="837" spans="1:12" ht="12.75" x14ac:dyDescent="0.2">
      <c r="A837" s="123"/>
      <c r="B837" s="129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</row>
    <row r="838" spans="1:12" ht="12.75" x14ac:dyDescent="0.2">
      <c r="A838" s="123"/>
      <c r="B838" s="129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</row>
    <row r="839" spans="1:12" ht="12.75" x14ac:dyDescent="0.2">
      <c r="A839" s="123"/>
      <c r="B839" s="129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</row>
    <row r="840" spans="1:12" ht="12.75" x14ac:dyDescent="0.2">
      <c r="A840" s="123"/>
      <c r="B840" s="129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</row>
    <row r="841" spans="1:12" ht="12.75" x14ac:dyDescent="0.2">
      <c r="A841" s="123"/>
      <c r="B841" s="129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</row>
    <row r="842" spans="1:12" ht="12.75" x14ac:dyDescent="0.2">
      <c r="A842" s="123"/>
      <c r="B842" s="129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</row>
    <row r="843" spans="1:12" ht="12.75" x14ac:dyDescent="0.2">
      <c r="A843" s="123"/>
      <c r="B843" s="129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</row>
    <row r="844" spans="1:12" ht="12.75" x14ac:dyDescent="0.2">
      <c r="A844" s="123"/>
      <c r="B844" s="129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</row>
    <row r="845" spans="1:12" ht="12.75" x14ac:dyDescent="0.2">
      <c r="A845" s="123"/>
      <c r="B845" s="129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</row>
    <row r="846" spans="1:12" ht="12.75" x14ac:dyDescent="0.2">
      <c r="A846" s="123"/>
      <c r="B846" s="129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</row>
    <row r="847" spans="1:12" ht="12.75" x14ac:dyDescent="0.2">
      <c r="A847" s="123"/>
      <c r="B847" s="129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</row>
    <row r="848" spans="1:12" ht="12.75" x14ac:dyDescent="0.2">
      <c r="A848" s="123"/>
      <c r="B848" s="129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</row>
    <row r="849" spans="1:12" ht="12.75" x14ac:dyDescent="0.2">
      <c r="A849" s="123"/>
      <c r="B849" s="129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</row>
    <row r="850" spans="1:12" ht="12.75" x14ac:dyDescent="0.2">
      <c r="A850" s="123"/>
      <c r="B850" s="129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</row>
    <row r="851" spans="1:12" ht="12.75" x14ac:dyDescent="0.2">
      <c r="A851" s="123"/>
      <c r="B851" s="129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</row>
    <row r="852" spans="1:12" ht="12.75" x14ac:dyDescent="0.2">
      <c r="A852" s="123"/>
      <c r="B852" s="129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</row>
    <row r="853" spans="1:12" ht="12.75" x14ac:dyDescent="0.2">
      <c r="A853" s="123"/>
      <c r="B853" s="129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</row>
    <row r="854" spans="1:12" ht="12.75" x14ac:dyDescent="0.2">
      <c r="A854" s="123"/>
      <c r="B854" s="129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</row>
    <row r="855" spans="1:12" ht="12.75" x14ac:dyDescent="0.2">
      <c r="A855" s="123"/>
      <c r="B855" s="129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</row>
    <row r="856" spans="1:12" ht="12.75" x14ac:dyDescent="0.2">
      <c r="A856" s="123"/>
      <c r="B856" s="129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</row>
    <row r="857" spans="1:12" ht="12.75" x14ac:dyDescent="0.2">
      <c r="A857" s="123"/>
      <c r="B857" s="129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</row>
    <row r="858" spans="1:12" ht="12.75" x14ac:dyDescent="0.2">
      <c r="A858" s="123"/>
      <c r="B858" s="129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</row>
    <row r="859" spans="1:12" ht="12.75" x14ac:dyDescent="0.2">
      <c r="A859" s="123"/>
      <c r="B859" s="129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</row>
    <row r="860" spans="1:12" ht="12.75" x14ac:dyDescent="0.2">
      <c r="A860" s="123"/>
      <c r="B860" s="129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</row>
    <row r="861" spans="1:12" ht="12.75" x14ac:dyDescent="0.2">
      <c r="A861" s="123"/>
      <c r="B861" s="129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</row>
    <row r="862" spans="1:12" ht="12.75" x14ac:dyDescent="0.2">
      <c r="A862" s="123"/>
      <c r="B862" s="129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</row>
    <row r="863" spans="1:12" ht="12.75" x14ac:dyDescent="0.2">
      <c r="A863" s="123"/>
      <c r="B863" s="129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</row>
    <row r="864" spans="1:12" ht="12.75" x14ac:dyDescent="0.2">
      <c r="A864" s="123"/>
      <c r="B864" s="129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</row>
    <row r="865" spans="1:12" ht="12.75" x14ac:dyDescent="0.2">
      <c r="A865" s="123"/>
      <c r="B865" s="129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</row>
    <row r="866" spans="1:12" ht="12.75" x14ac:dyDescent="0.2">
      <c r="A866" s="123"/>
      <c r="B866" s="129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</row>
    <row r="867" spans="1:12" ht="12.75" x14ac:dyDescent="0.2">
      <c r="A867" s="123"/>
      <c r="B867" s="129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</row>
    <row r="868" spans="1:12" ht="12.75" x14ac:dyDescent="0.2">
      <c r="A868" s="123"/>
      <c r="B868" s="129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</row>
    <row r="869" spans="1:12" ht="12.75" x14ac:dyDescent="0.2">
      <c r="A869" s="123"/>
      <c r="B869" s="129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</row>
    <row r="870" spans="1:12" ht="12.75" x14ac:dyDescent="0.2">
      <c r="A870" s="123"/>
      <c r="B870" s="129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</row>
    <row r="871" spans="1:12" ht="12.75" x14ac:dyDescent="0.2">
      <c r="A871" s="123"/>
      <c r="B871" s="129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</row>
    <row r="872" spans="1:12" ht="12.75" x14ac:dyDescent="0.2">
      <c r="A872" s="123"/>
      <c r="B872" s="129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</row>
    <row r="873" spans="1:12" ht="12.75" x14ac:dyDescent="0.2">
      <c r="A873" s="123"/>
      <c r="B873" s="129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</row>
    <row r="874" spans="1:12" ht="12.75" x14ac:dyDescent="0.2">
      <c r="A874" s="123"/>
      <c r="B874" s="129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</row>
    <row r="875" spans="1:12" ht="12.75" x14ac:dyDescent="0.2">
      <c r="A875" s="123"/>
      <c r="B875" s="129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</row>
    <row r="876" spans="1:12" ht="12.75" x14ac:dyDescent="0.2">
      <c r="A876" s="123"/>
      <c r="B876" s="129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</row>
    <row r="877" spans="1:12" ht="12.75" x14ac:dyDescent="0.2">
      <c r="A877" s="123"/>
      <c r="B877" s="129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</row>
    <row r="878" spans="1:12" ht="12.75" x14ac:dyDescent="0.2">
      <c r="A878" s="123"/>
      <c r="B878" s="129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</row>
    <row r="879" spans="1:12" ht="12.75" x14ac:dyDescent="0.2">
      <c r="A879" s="123"/>
      <c r="B879" s="129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</row>
    <row r="880" spans="1:12" ht="12.75" x14ac:dyDescent="0.2">
      <c r="A880" s="123"/>
      <c r="B880" s="129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</row>
    <row r="881" spans="1:12" ht="12.75" x14ac:dyDescent="0.2">
      <c r="A881" s="123"/>
      <c r="B881" s="129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</row>
    <row r="882" spans="1:12" ht="12.75" x14ac:dyDescent="0.2">
      <c r="A882" s="123"/>
      <c r="B882" s="129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</row>
    <row r="883" spans="1:12" ht="12.75" x14ac:dyDescent="0.2">
      <c r="A883" s="123"/>
      <c r="B883" s="129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</row>
    <row r="884" spans="1:12" ht="12.75" x14ac:dyDescent="0.2">
      <c r="A884" s="123"/>
      <c r="B884" s="129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</row>
    <row r="885" spans="1:12" ht="12.75" x14ac:dyDescent="0.2">
      <c r="A885" s="123"/>
      <c r="B885" s="129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</row>
    <row r="886" spans="1:12" ht="12.75" x14ac:dyDescent="0.2">
      <c r="A886" s="123"/>
      <c r="B886" s="129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</row>
    <row r="887" spans="1:12" ht="12.75" x14ac:dyDescent="0.2">
      <c r="A887" s="123"/>
      <c r="B887" s="129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</row>
    <row r="888" spans="1:12" ht="12.75" x14ac:dyDescent="0.2">
      <c r="A888" s="123"/>
      <c r="B888" s="129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</row>
    <row r="889" spans="1:12" ht="12.75" x14ac:dyDescent="0.2">
      <c r="A889" s="123"/>
      <c r="B889" s="129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</row>
    <row r="890" spans="1:12" ht="12.75" x14ac:dyDescent="0.2">
      <c r="A890" s="123"/>
      <c r="B890" s="129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</row>
    <row r="891" spans="1:12" ht="12.75" x14ac:dyDescent="0.2">
      <c r="A891" s="123"/>
      <c r="B891" s="129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</row>
    <row r="892" spans="1:12" ht="12.75" x14ac:dyDescent="0.2">
      <c r="A892" s="123"/>
      <c r="B892" s="129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</row>
    <row r="893" spans="1:12" ht="12.75" x14ac:dyDescent="0.2">
      <c r="A893" s="123"/>
      <c r="B893" s="129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</row>
    <row r="894" spans="1:12" ht="12.75" x14ac:dyDescent="0.2">
      <c r="A894" s="123"/>
      <c r="B894" s="129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</row>
    <row r="895" spans="1:12" ht="12.75" x14ac:dyDescent="0.2">
      <c r="A895" s="123"/>
      <c r="B895" s="129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</row>
    <row r="896" spans="1:12" ht="12.75" x14ac:dyDescent="0.2">
      <c r="A896" s="123"/>
      <c r="B896" s="129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</row>
    <row r="897" spans="1:12" ht="12.75" x14ac:dyDescent="0.2">
      <c r="A897" s="123"/>
      <c r="B897" s="129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</row>
    <row r="898" spans="1:12" ht="12.75" x14ac:dyDescent="0.2">
      <c r="A898" s="123"/>
      <c r="B898" s="129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</row>
    <row r="899" spans="1:12" ht="12.75" x14ac:dyDescent="0.2">
      <c r="A899" s="123"/>
      <c r="B899" s="129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</row>
    <row r="900" spans="1:12" ht="12.75" x14ac:dyDescent="0.2">
      <c r="A900" s="123"/>
      <c r="B900" s="129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</row>
    <row r="901" spans="1:12" ht="12.75" x14ac:dyDescent="0.2">
      <c r="A901" s="123"/>
      <c r="B901" s="129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</row>
    <row r="902" spans="1:12" ht="12.75" x14ac:dyDescent="0.2">
      <c r="A902" s="123"/>
      <c r="B902" s="129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</row>
    <row r="903" spans="1:12" ht="12.75" x14ac:dyDescent="0.2">
      <c r="A903" s="123"/>
      <c r="B903" s="129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</row>
    <row r="904" spans="1:12" ht="12.75" x14ac:dyDescent="0.2">
      <c r="A904" s="123"/>
      <c r="B904" s="129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</row>
    <row r="905" spans="1:12" ht="12.75" x14ac:dyDescent="0.2">
      <c r="A905" s="123"/>
      <c r="B905" s="129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</row>
    <row r="906" spans="1:12" ht="12.75" x14ac:dyDescent="0.2">
      <c r="A906" s="123"/>
      <c r="B906" s="129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</row>
    <row r="907" spans="1:12" ht="12.75" x14ac:dyDescent="0.2">
      <c r="A907" s="123"/>
      <c r="B907" s="129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</row>
    <row r="908" spans="1:12" ht="12.75" x14ac:dyDescent="0.2">
      <c r="A908" s="123"/>
      <c r="B908" s="129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</row>
    <row r="909" spans="1:12" ht="12.75" x14ac:dyDescent="0.2">
      <c r="A909" s="123"/>
      <c r="B909" s="129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</row>
    <row r="910" spans="1:12" ht="12.75" x14ac:dyDescent="0.2">
      <c r="A910" s="123"/>
      <c r="B910" s="129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</row>
    <row r="911" spans="1:12" ht="12.75" x14ac:dyDescent="0.2">
      <c r="A911" s="123"/>
      <c r="B911" s="129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</row>
    <row r="912" spans="1:12" ht="12.75" x14ac:dyDescent="0.2">
      <c r="A912" s="123"/>
      <c r="B912" s="129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</row>
    <row r="913" spans="1:12" ht="12.75" x14ac:dyDescent="0.2">
      <c r="A913" s="123"/>
      <c r="B913" s="129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</row>
    <row r="914" spans="1:12" ht="12.75" x14ac:dyDescent="0.2">
      <c r="A914" s="123"/>
      <c r="B914" s="129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</row>
    <row r="915" spans="1:12" ht="12.75" x14ac:dyDescent="0.2">
      <c r="A915" s="123"/>
      <c r="B915" s="129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</row>
    <row r="916" spans="1:12" ht="12.75" x14ac:dyDescent="0.2">
      <c r="A916" s="123"/>
      <c r="B916" s="129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</row>
    <row r="917" spans="1:12" ht="12.75" x14ac:dyDescent="0.2">
      <c r="A917" s="123"/>
      <c r="B917" s="129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</row>
    <row r="918" spans="1:12" ht="12.75" x14ac:dyDescent="0.2">
      <c r="A918" s="123"/>
      <c r="B918" s="129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</row>
    <row r="919" spans="1:12" ht="12.75" x14ac:dyDescent="0.2">
      <c r="A919" s="123"/>
      <c r="B919" s="129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</row>
    <row r="920" spans="1:12" ht="12.75" x14ac:dyDescent="0.2">
      <c r="A920" s="123"/>
      <c r="B920" s="129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</row>
    <row r="921" spans="1:12" ht="12.75" x14ac:dyDescent="0.2">
      <c r="A921" s="123"/>
      <c r="B921" s="129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</row>
    <row r="922" spans="1:12" ht="12.75" x14ac:dyDescent="0.2">
      <c r="A922" s="123"/>
      <c r="B922" s="129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</row>
    <row r="923" spans="1:12" ht="12.75" x14ac:dyDescent="0.2">
      <c r="A923" s="123"/>
      <c r="B923" s="129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</row>
    <row r="924" spans="1:12" ht="12.75" x14ac:dyDescent="0.2">
      <c r="A924" s="123"/>
      <c r="B924" s="129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</row>
    <row r="925" spans="1:12" ht="12.75" x14ac:dyDescent="0.2">
      <c r="A925" s="123"/>
      <c r="B925" s="129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</row>
    <row r="926" spans="1:12" ht="12.75" x14ac:dyDescent="0.2">
      <c r="A926" s="123"/>
      <c r="B926" s="129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</row>
    <row r="927" spans="1:12" ht="12.75" x14ac:dyDescent="0.2">
      <c r="A927" s="123"/>
      <c r="B927" s="13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</row>
  </sheetData>
  <dataValidations count="1">
    <dataValidation type="custom" allowBlank="1" showDropDown="1" sqref="B2:L156" xr:uid="{00000000-0002-0000-01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HASIL PERHITUNGAN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Abyantara</cp:lastModifiedBy>
  <dcterms:modified xsi:type="dcterms:W3CDTF">2026-02-01T17:05:33Z</dcterms:modified>
</cp:coreProperties>
</file>